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deha + ibpo\Fashion store\"/>
    </mc:Choice>
  </mc:AlternateContent>
  <xr:revisionPtr revIDLastSave="0" documentId="13_ncr:1_{5B94AB72-EF13-462E-B35D-A42C8A5FDC05}" xr6:coauthVersionLast="47" xr6:coauthVersionMax="47" xr10:uidLastSave="{00000000-0000-0000-0000-000000000000}"/>
  <bookViews>
    <workbookView xWindow="-110" yWindow="-110" windowWidth="19420" windowHeight="10300" xr2:uid="{00000000-000D-0000-FFFF-FFFF00000000}"/>
  </bookViews>
  <sheets>
    <sheet name="Báo cáo kiểm thử" sheetId="3" r:id="rId1"/>
  </sheets>
  <definedNames>
    <definedName name="result" localSheetId="0">'Báo cáo kiểm thử'!$C$125:$C$128</definedName>
    <definedName name="result">#REF!</definedName>
  </definedNames>
  <calcPr calcId="191029"/>
</workbook>
</file>

<file path=xl/calcChain.xml><?xml version="1.0" encoding="utf-8"?>
<calcChain xmlns="http://schemas.openxmlformats.org/spreadsheetml/2006/main">
  <c r="L49" i="3" l="1"/>
  <c r="K49" i="3"/>
  <c r="G24" i="3"/>
  <c r="F24" i="3"/>
  <c r="E24" i="3"/>
  <c r="D24" i="3"/>
  <c r="H23" i="3"/>
  <c r="H22" i="3"/>
  <c r="H21" i="3"/>
  <c r="H20" i="3"/>
  <c r="H19" i="3"/>
  <c r="H18" i="3"/>
  <c r="H17" i="3"/>
  <c r="H16" i="3"/>
  <c r="H15" i="3"/>
  <c r="H14" i="3"/>
  <c r="H24" i="3" l="1"/>
  <c r="E27" i="3" s="1"/>
  <c r="E26" i="3" l="1"/>
</calcChain>
</file>

<file path=xl/sharedStrings.xml><?xml version="1.0" encoding="utf-8"?>
<sst xmlns="http://schemas.openxmlformats.org/spreadsheetml/2006/main" count="95" uniqueCount="85">
  <si>
    <t>Đăng nhập</t>
  </si>
  <si>
    <t>-</t>
  </si>
  <si>
    <t>Chỉnh sửa giỏ hàng</t>
  </si>
  <si>
    <t>Xem giỏ hàng</t>
  </si>
  <si>
    <t>Tìm kiếm</t>
  </si>
  <si>
    <t>Chi tiết sản phẩm</t>
  </si>
  <si>
    <t>Đặt hàng</t>
  </si>
  <si>
    <t>Quản lý sản phẩm</t>
  </si>
  <si>
    <t>Quản lý danh mục</t>
  </si>
  <si>
    <t>New</t>
  </si>
  <si>
    <t xml:space="preserve">TEST REPORT </t>
  </si>
  <si>
    <t>I.</t>
  </si>
  <si>
    <t>PHẠM  VI</t>
  </si>
  <si>
    <t>Tên dự án:</t>
  </si>
  <si>
    <t>Dự án phát triển hệ thống quản lý bán hàng thời trang</t>
  </si>
  <si>
    <t>Phiên bản tài liệu</t>
  </si>
  <si>
    <t>v1.0</t>
  </si>
  <si>
    <t>Môi trường thử nghiệm</t>
  </si>
  <si>
    <t>Môi trường mô phỏng</t>
  </si>
  <si>
    <t>Các chức năng test</t>
  </si>
  <si>
    <t>Đăng nhập, Chỉnh sửa giỏ hàng, Xem giỏ hàng, Tìm kiếm, Chi tiết sản phẩm, Đặt hàng, Quản lý sản phẩm, Quản lý danh mục, Quản lý tài khoản, Báo cáo - Thống kê</t>
  </si>
  <si>
    <t>Các chức năng chưa test</t>
  </si>
  <si>
    <t>II.</t>
  </si>
  <si>
    <t>BÁO CÁO THEO FUNCTION LIST</t>
  </si>
  <si>
    <t>STT</t>
  </si>
  <si>
    <t>Module code</t>
  </si>
  <si>
    <t>Pass</t>
  </si>
  <si>
    <t>Fail</t>
  </si>
  <si>
    <t>Untested</t>
  </si>
  <si>
    <t>N/A</t>
  </si>
  <si>
    <t>Số lượng TCs</t>
  </si>
  <si>
    <t>Quản lý tài khoản</t>
  </si>
  <si>
    <t>Báo cáo - Thống kê</t>
  </si>
  <si>
    <t>Sub total</t>
  </si>
  <si>
    <t>Test coverage</t>
  </si>
  <si>
    <t>Test successful coverage</t>
  </si>
  <si>
    <t>III.</t>
  </si>
  <si>
    <t>BÁO CÁO THEO LỖI DEFECT</t>
  </si>
  <si>
    <t>1. Trạng thái</t>
  </si>
  <si>
    <t>Trạng thái</t>
  </si>
  <si>
    <t>In progress</t>
  </si>
  <si>
    <t>Resolved</t>
  </si>
  <si>
    <t>Pending</t>
  </si>
  <si>
    <t>Need confirm</t>
  </si>
  <si>
    <t>Closed</t>
  </si>
  <si>
    <t>Feedback</t>
  </si>
  <si>
    <t>Cancel</t>
  </si>
  <si>
    <t>Total</t>
  </si>
  <si>
    <t>Tổng (trừ Hủy)</t>
  </si>
  <si>
    <t>Số lượng defect</t>
  </si>
  <si>
    <t>High (Cao)</t>
  </si>
  <si>
    <t>Medium (Trung bình)</t>
  </si>
  <si>
    <t>Low (Thấp)</t>
  </si>
  <si>
    <t>Tổng cộng</t>
  </si>
  <si>
    <t xml:space="preserve">2. Báo cáo theo loại defect </t>
  </si>
  <si>
    <t>Loại defect</t>
  </si>
  <si>
    <t>Số lượng</t>
  </si>
  <si>
    <t>Functional</t>
  </si>
  <si>
    <t>Interface</t>
  </si>
  <si>
    <t>Negative / Validate</t>
  </si>
  <si>
    <t>Miss requirement</t>
  </si>
  <si>
    <t>Incorrect data</t>
  </si>
  <si>
    <t>Performance</t>
  </si>
  <si>
    <t>Truth</t>
  </si>
  <si>
    <t>Others</t>
  </si>
  <si>
    <t>Incorrect documentation</t>
  </si>
  <si>
    <t>IV.</t>
  </si>
  <si>
    <t>LỖI LẶP</t>
  </si>
  <si>
    <t>Common defect</t>
  </si>
  <si>
    <t>Mô tả</t>
  </si>
  <si>
    <t>Tên màn hình-Chức năng lỗi</t>
  </si>
  <si>
    <t>V</t>
  </si>
  <si>
    <t>LÝ DO VÀ HÀNH ĐỘNG ĐỀ XUẤT</t>
  </si>
  <si>
    <t>TT</t>
  </si>
  <si>
    <t>Lý do</t>
  </si>
  <si>
    <t>Hành động đề xuất</t>
  </si>
  <si>
    <t>VI.</t>
  </si>
  <si>
    <t>GHI CHÚ</t>
  </si>
  <si>
    <t>Nhãn</t>
  </si>
  <si>
    <t>Not Applicable : TestCase chưa thể test được (có thể do chưa phát triển xong)</t>
  </si>
  <si>
    <t>Not Include : TestCase ko cần test do spec thay đổi hoặc TestCase sai</t>
  </si>
  <si>
    <t>P/(Number of Test cases - Untested)</t>
  </si>
  <si>
    <t>(P+F)/(Number of Test cases - Untested)</t>
  </si>
  <si>
    <t>Số Lượng Lỗi</t>
  </si>
  <si>
    <t>Mức Độ Ưu Tiên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</si>
</sst>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6">
    <font>
      <sz val="10"/>
      <color rgb="FF000000"/>
      <name val="Calibri"/>
      <scheme val="minor"/>
    </font>
    <font>
      <sz val="10"/>
      <name val="Calibri"/>
      <family val="2"/>
    </font>
    <font>
      <sz val="10"/>
      <color rgb="FF1B1C1D"/>
      <name val="&quot;Google Sans Text&quot;"/>
    </font>
    <font>
      <sz val="12"/>
      <color theme="1"/>
      <name val="Times New Roman"/>
      <family val="1"/>
    </font>
    <font>
      <b/>
      <sz val="20"/>
      <color theme="1"/>
      <name val="Times New Roman"/>
      <family val="1"/>
    </font>
    <font>
      <b/>
      <sz val="12"/>
      <color rgb="FF4F6128"/>
      <name val="Times New Roman"/>
      <family val="1"/>
    </font>
    <font>
      <b/>
      <sz val="12"/>
      <color theme="1"/>
      <name val="Times New Roman"/>
      <family val="1"/>
    </font>
    <font>
      <i/>
      <sz val="12"/>
      <color rgb="FF008000"/>
      <name val="Times New Roman"/>
      <family val="1"/>
    </font>
    <font>
      <b/>
      <i/>
      <sz val="12"/>
      <color theme="1"/>
      <name val="Times New Roman"/>
      <family val="1"/>
    </font>
    <font>
      <sz val="12"/>
      <color rgb="FF000000"/>
      <name val="Times New Roman"/>
      <family val="1"/>
    </font>
    <font>
      <b/>
      <sz val="12"/>
      <color rgb="FF993300"/>
      <name val="Times New Roman"/>
      <family val="1"/>
    </font>
    <font>
      <b/>
      <sz val="12"/>
      <color rgb="FF0000FF"/>
      <name val="Times New Roman"/>
      <family val="1"/>
    </font>
    <font>
      <b/>
      <sz val="10"/>
      <color theme="1"/>
      <name val="Arial"/>
      <family val="2"/>
    </font>
    <font>
      <sz val="10"/>
      <color theme="1"/>
      <name val="Arial"/>
      <family val="2"/>
    </font>
    <font>
      <sz val="10"/>
      <color rgb="FF000000"/>
      <name val="Calibri"/>
      <family val="2"/>
    </font>
    <font>
      <sz val="11"/>
      <color rgb="FF1B1C1D"/>
      <name val="Times New Roman"/>
      <family val="1"/>
    </font>
  </fonts>
  <fills count="6">
    <fill>
      <patternFill patternType="none"/>
    </fill>
    <fill>
      <patternFill patternType="gray125"/>
    </fill>
    <fill>
      <patternFill patternType="solid">
        <fgColor rgb="FFFFFFFF"/>
        <bgColor rgb="FFFFFFFF"/>
      </patternFill>
    </fill>
    <fill>
      <patternFill patternType="solid">
        <fgColor rgb="FF95B3D7"/>
        <bgColor rgb="FF95B3D7"/>
      </patternFill>
    </fill>
    <fill>
      <patternFill patternType="solid">
        <fgColor rgb="FFB2A1C7"/>
        <bgColor rgb="FFB2A1C7"/>
      </patternFill>
    </fill>
    <fill>
      <patternFill patternType="solid">
        <fgColor theme="0"/>
        <bgColor theme="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right style="thin">
        <color rgb="FF000000"/>
      </right>
      <top/>
      <bottom/>
      <diagonal/>
    </border>
    <border>
      <left/>
      <right/>
      <top/>
      <bottom/>
      <diagonal/>
    </border>
    <border>
      <left/>
      <right/>
      <top/>
      <bottom/>
      <diagonal/>
    </border>
  </borders>
  <cellStyleXfs count="1">
    <xf numFmtId="0" fontId="0" fillId="0" borderId="0"/>
  </cellStyleXfs>
  <cellXfs count="89">
    <xf numFmtId="0" fontId="0" fillId="0" borderId="0" xfId="0"/>
    <xf numFmtId="0" fontId="3" fillId="2" borderId="5" xfId="0" applyFont="1" applyFill="1" applyBorder="1" applyAlignment="1">
      <alignment horizontal="center" vertical="center"/>
    </xf>
    <xf numFmtId="0" fontId="3" fillId="0" borderId="5" xfId="0" applyFont="1" applyBorder="1"/>
    <xf numFmtId="0" fontId="3" fillId="0" borderId="5" xfId="0" applyFont="1" applyBorder="1" applyAlignment="1">
      <alignment wrapText="1"/>
    </xf>
    <xf numFmtId="0" fontId="5" fillId="0" borderId="5" xfId="0" applyFont="1" applyBorder="1" applyAlignment="1">
      <alignment horizontal="center"/>
    </xf>
    <xf numFmtId="0" fontId="5" fillId="0" borderId="5" xfId="0" applyFont="1" applyBorder="1" applyAlignment="1">
      <alignment horizontal="center" wrapText="1"/>
    </xf>
    <xf numFmtId="0" fontId="6" fillId="0" borderId="5" xfId="0" applyFont="1" applyBorder="1" applyAlignment="1">
      <alignment horizontal="center" vertical="center"/>
    </xf>
    <xf numFmtId="0" fontId="6" fillId="0" borderId="5" xfId="0" applyFont="1" applyBorder="1"/>
    <xf numFmtId="0" fontId="7" fillId="0" borderId="5" xfId="0" applyFont="1" applyBorder="1" applyAlignment="1">
      <alignment wrapText="1"/>
    </xf>
    <xf numFmtId="15" fontId="3" fillId="0" borderId="5" xfId="0" applyNumberFormat="1" applyFont="1" applyBorder="1"/>
    <xf numFmtId="164" fontId="6" fillId="3" borderId="9" xfId="0" applyNumberFormat="1" applyFont="1" applyFill="1" applyBorder="1" applyAlignment="1">
      <alignment horizontal="center" vertical="center"/>
    </xf>
    <xf numFmtId="164" fontId="6" fillId="0" borderId="10" xfId="0" applyNumberFormat="1" applyFont="1" applyBorder="1" applyAlignment="1">
      <alignment horizontal="center" vertical="center" wrapText="1"/>
    </xf>
    <xf numFmtId="164" fontId="6" fillId="0" borderId="10" xfId="0" applyNumberFormat="1"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wrapText="1"/>
    </xf>
    <xf numFmtId="1" fontId="3" fillId="0" borderId="1" xfId="0" applyNumberFormat="1" applyFont="1" applyBorder="1" applyAlignment="1">
      <alignment horizontal="center"/>
    </xf>
    <xf numFmtId="0" fontId="3" fillId="0" borderId="8" xfId="0" applyFont="1" applyBorder="1"/>
    <xf numFmtId="1" fontId="3" fillId="0" borderId="1" xfId="0" applyNumberFormat="1" applyFont="1" applyBorder="1" applyAlignment="1">
      <alignment horizontal="left" wrapText="1"/>
    </xf>
    <xf numFmtId="1" fontId="9" fillId="0" borderId="1" xfId="0" applyNumberFormat="1" applyFont="1" applyBorder="1" applyAlignment="1">
      <alignment horizontal="center"/>
    </xf>
    <xf numFmtId="1" fontId="6" fillId="0" borderId="13" xfId="0" applyNumberFormat="1" applyFont="1" applyBorder="1" applyAlignment="1">
      <alignment horizontal="center"/>
    </xf>
    <xf numFmtId="1" fontId="6" fillId="0" borderId="14" xfId="0" applyNumberFormat="1" applyFont="1" applyBorder="1" applyAlignment="1">
      <alignment horizontal="center"/>
    </xf>
    <xf numFmtId="0" fontId="3" fillId="0" borderId="5" xfId="0" applyFont="1" applyBorder="1" applyAlignment="1">
      <alignment horizontal="center"/>
    </xf>
    <xf numFmtId="10" fontId="3" fillId="0" borderId="5" xfId="0" applyNumberFormat="1" applyFont="1" applyBorder="1" applyAlignment="1">
      <alignment horizontal="center"/>
    </xf>
    <xf numFmtId="9" fontId="3" fillId="0" borderId="5" xfId="0" applyNumberFormat="1" applyFont="1" applyBorder="1" applyAlignment="1">
      <alignment horizontal="center"/>
    </xf>
    <xf numFmtId="9" fontId="3" fillId="0" borderId="15" xfId="0" applyNumberFormat="1" applyFont="1" applyBorder="1" applyAlignment="1">
      <alignment horizontal="center"/>
    </xf>
    <xf numFmtId="0" fontId="9" fillId="5" borderId="5" xfId="0" applyFont="1" applyFill="1" applyBorder="1" applyAlignment="1">
      <alignment vertical="center" wrapText="1"/>
    </xf>
    <xf numFmtId="0" fontId="10" fillId="0" borderId="5" xfId="0" applyFont="1" applyBorder="1" applyAlignment="1">
      <alignment horizontal="left" wrapText="1"/>
    </xf>
    <xf numFmtId="9" fontId="11" fillId="0" borderId="5" xfId="0" applyNumberFormat="1" applyFont="1" applyBorder="1" applyAlignment="1">
      <alignment horizontal="right" wrapText="1"/>
    </xf>
    <xf numFmtId="0" fontId="9" fillId="0" borderId="5" xfId="0" applyFont="1" applyBorder="1" applyAlignment="1">
      <alignment horizontal="center" wrapText="1"/>
    </xf>
    <xf numFmtId="0" fontId="6" fillId="0" borderId="5" xfId="0" applyFont="1" applyBorder="1" applyAlignment="1">
      <alignment horizontal="center"/>
    </xf>
    <xf numFmtId="0" fontId="3" fillId="0" borderId="5" xfId="0" applyFont="1" applyBorder="1" applyAlignment="1">
      <alignment horizontal="left"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wrapText="1"/>
    </xf>
    <xf numFmtId="0" fontId="13" fillId="0" borderId="0" xfId="0" applyFont="1" applyAlignment="1">
      <alignment wrapText="1"/>
    </xf>
    <xf numFmtId="0" fontId="13" fillId="0" borderId="5" xfId="0" applyFont="1" applyBorder="1" applyAlignment="1">
      <alignment wrapText="1"/>
    </xf>
    <xf numFmtId="0" fontId="13" fillId="0" borderId="5" xfId="0" applyFont="1" applyBorder="1"/>
    <xf numFmtId="0" fontId="14" fillId="0" borderId="0" xfId="0" applyFont="1"/>
    <xf numFmtId="0" fontId="12" fillId="0" borderId="5" xfId="0" applyFont="1" applyBorder="1" applyAlignment="1">
      <alignment horizontal="center" vertical="center" wrapText="1"/>
    </xf>
    <xf numFmtId="0" fontId="3" fillId="0" borderId="5" xfId="0" applyFont="1" applyBorder="1" applyAlignment="1">
      <alignment horizontal="right" wrapText="1"/>
    </xf>
    <xf numFmtId="0" fontId="13" fillId="0" borderId="16" xfId="0" applyFont="1" applyBorder="1"/>
    <xf numFmtId="0" fontId="13" fillId="0" borderId="16" xfId="0" applyFont="1" applyBorder="1" applyAlignment="1">
      <alignment wrapText="1"/>
    </xf>
    <xf numFmtId="0" fontId="13" fillId="0" borderId="6" xfId="0" applyFont="1" applyBorder="1"/>
    <xf numFmtId="0" fontId="15" fillId="0" borderId="1" xfId="0" applyFont="1" applyBorder="1"/>
    <xf numFmtId="0" fontId="2" fillId="0" borderId="0" xfId="0" applyFont="1"/>
    <xf numFmtId="0" fontId="3" fillId="0" borderId="6" xfId="0" applyFont="1" applyBorder="1"/>
    <xf numFmtId="0" fontId="3" fillId="0" borderId="17" xfId="0" applyFont="1" applyBorder="1"/>
    <xf numFmtId="0" fontId="6" fillId="0" borderId="5" xfId="0" applyFont="1" applyBorder="1" applyAlignment="1">
      <alignment horizontal="left" vertical="center"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3" fillId="0" borderId="1" xfId="0" applyFont="1" applyBorder="1" applyAlignment="1">
      <alignment horizontal="center" vertical="center"/>
    </xf>
    <xf numFmtId="0" fontId="13" fillId="0" borderId="1" xfId="0" applyFont="1" applyBorder="1" applyAlignment="1">
      <alignment horizontal="left" vertical="center"/>
    </xf>
    <xf numFmtId="0" fontId="3" fillId="0" borderId="1" xfId="0" applyFont="1" applyBorder="1" applyAlignment="1">
      <alignment horizontal="center" wrapText="1"/>
    </xf>
    <xf numFmtId="9" fontId="3" fillId="0" borderId="1" xfId="0" applyNumberFormat="1" applyFont="1" applyBorder="1" applyAlignment="1">
      <alignment horizontal="center" vertical="center"/>
    </xf>
    <xf numFmtId="0" fontId="13" fillId="0" borderId="1" xfId="0" applyFont="1" applyBorder="1" applyAlignment="1">
      <alignment horizontal="left"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top" wrapText="1"/>
    </xf>
    <xf numFmtId="0" fontId="10" fillId="0" borderId="5" xfId="0" applyFont="1" applyBorder="1" applyAlignment="1">
      <alignment horizontal="center" vertical="center"/>
    </xf>
    <xf numFmtId="0" fontId="3" fillId="0" borderId="5" xfId="0" applyFont="1" applyBorder="1" applyAlignment="1">
      <alignment horizontal="center" vertical="top" wrapText="1"/>
    </xf>
    <xf numFmtId="0" fontId="3" fillId="0" borderId="0" xfId="0" applyFont="1" applyAlignment="1">
      <alignment horizontal="center" vertical="center" wrapText="1"/>
    </xf>
    <xf numFmtId="0" fontId="3" fillId="0" borderId="0" xfId="0" applyFont="1" applyAlignment="1">
      <alignment horizontal="center" vertical="top" wrapText="1"/>
    </xf>
    <xf numFmtId="0" fontId="6" fillId="0" borderId="1" xfId="0" applyFont="1" applyBorder="1" applyAlignment="1">
      <alignment horizontal="left" vertical="center" wrapText="1"/>
    </xf>
    <xf numFmtId="0" fontId="3" fillId="0" borderId="1" xfId="0" applyFont="1" applyBorder="1" applyAlignment="1">
      <alignment wrapText="1"/>
    </xf>
    <xf numFmtId="0" fontId="9" fillId="0" borderId="1" xfId="0" applyFont="1" applyBorder="1" applyAlignment="1">
      <alignment vertical="center" wrapText="1"/>
    </xf>
    <xf numFmtId="0" fontId="1" fillId="0" borderId="3" xfId="0" applyFont="1" applyBorder="1"/>
    <xf numFmtId="0" fontId="1" fillId="0" borderId="4" xfId="0" applyFont="1" applyBorder="1"/>
    <xf numFmtId="0" fontId="3" fillId="0" borderId="2" xfId="0" applyFont="1" applyBorder="1" applyAlignment="1">
      <alignment vertical="top"/>
    </xf>
    <xf numFmtId="0" fontId="3" fillId="0" borderId="2" xfId="0" applyFont="1" applyBorder="1" applyAlignment="1">
      <alignment horizontal="left" vertical="top" wrapText="1"/>
    </xf>
    <xf numFmtId="0" fontId="3" fillId="0" borderId="2" xfId="0" applyFont="1" applyBorder="1" applyAlignment="1">
      <alignment horizontal="left" vertical="top"/>
    </xf>
    <xf numFmtId="0" fontId="3" fillId="0" borderId="2" xfId="0" applyFont="1" applyBorder="1" applyAlignment="1">
      <alignment horizontal="center" vertical="top" wrapText="1"/>
    </xf>
    <xf numFmtId="0" fontId="3" fillId="0" borderId="2" xfId="0" applyFont="1" applyBorder="1" applyAlignment="1">
      <alignment horizontal="left"/>
    </xf>
    <xf numFmtId="0" fontId="6" fillId="0" borderId="6" xfId="0" applyFont="1" applyBorder="1" applyAlignment="1">
      <alignment horizontal="center" vertical="center"/>
    </xf>
    <xf numFmtId="0" fontId="1" fillId="0" borderId="8" xfId="0" applyFont="1" applyBorder="1"/>
    <xf numFmtId="0" fontId="3" fillId="0" borderId="2" xfId="0" applyFont="1" applyBorder="1" applyAlignment="1">
      <alignment vertical="top" wrapText="1"/>
    </xf>
    <xf numFmtId="0" fontId="3" fillId="0" borderId="6" xfId="0" applyFont="1" applyBorder="1" applyAlignment="1">
      <alignment horizontal="left" wrapText="1"/>
    </xf>
    <xf numFmtId="0" fontId="1" fillId="0" borderId="7" xfId="0" applyFont="1" applyBorder="1"/>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3" fillId="0" borderId="2" xfId="0" applyFont="1" applyBorder="1" applyAlignment="1">
      <alignment horizontal="left" vertical="center" wrapText="1"/>
    </xf>
    <xf numFmtId="0" fontId="3" fillId="0" borderId="6" xfId="0" applyFont="1" applyBorder="1" applyAlignment="1">
      <alignment horizontal="left" vertical="center" wrapText="1"/>
    </xf>
    <xf numFmtId="0" fontId="3" fillId="0" borderId="6" xfId="0" applyFont="1" applyBorder="1" applyAlignment="1">
      <alignment horizontal="center" vertical="center"/>
    </xf>
    <xf numFmtId="0" fontId="8" fillId="0" borderId="2" xfId="0" applyFont="1" applyBorder="1" applyAlignment="1">
      <alignment horizontal="left" vertical="center" wrapText="1"/>
    </xf>
    <xf numFmtId="164" fontId="6" fillId="4" borderId="11" xfId="0" applyNumberFormat="1" applyFont="1" applyFill="1" applyBorder="1" applyAlignment="1">
      <alignment horizontal="center" vertical="center"/>
    </xf>
    <xf numFmtId="0" fontId="1" fillId="0" borderId="12" xfId="0" applyFont="1" applyBorder="1"/>
    <xf numFmtId="0" fontId="4" fillId="0" borderId="6" xfId="0" applyFont="1" applyBorder="1" applyAlignment="1">
      <alignment horizontal="center"/>
    </xf>
    <xf numFmtId="0" fontId="3" fillId="0" borderId="2" xfId="0" applyFont="1" applyBorder="1" applyAlignment="1">
      <alignment horizont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3" fillId="0" borderId="2"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F81BD"/>
            </a:solidFill>
            <a:ln cmpd="sng">
              <a:solidFill>
                <a:srgbClr val="000000"/>
              </a:solidFill>
            </a:ln>
          </c:spPr>
          <c:invertIfNegative val="1"/>
          <c:cat>
            <c:strRef>
              <c:f>'Báo cáo kiểm thử'!$B$68:$B$76</c:f>
              <c:strCache>
                <c:ptCount val="9"/>
                <c:pt idx="0">
                  <c:v>Functional</c:v>
                </c:pt>
                <c:pt idx="1">
                  <c:v>Interface</c:v>
                </c:pt>
                <c:pt idx="2">
                  <c:v>Negative / Validate</c:v>
                </c:pt>
                <c:pt idx="3">
                  <c:v>Miss requirement</c:v>
                </c:pt>
                <c:pt idx="4">
                  <c:v>Incorrect data</c:v>
                </c:pt>
                <c:pt idx="5">
                  <c:v>Performance</c:v>
                </c:pt>
                <c:pt idx="6">
                  <c:v>Truth</c:v>
                </c:pt>
                <c:pt idx="7">
                  <c:v>Others</c:v>
                </c:pt>
                <c:pt idx="8">
                  <c:v>Incorrect documentation</c:v>
                </c:pt>
              </c:strCache>
            </c:strRef>
          </c:cat>
          <c:val>
            <c:numRef>
              <c:f>'Báo cáo kiểm thử'!$C$68:$C$76</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57E-4BAE-AB0E-E92CB2C3B5DD}"/>
            </c:ext>
          </c:extLst>
        </c:ser>
        <c:dLbls>
          <c:showLegendKey val="0"/>
          <c:showVal val="0"/>
          <c:showCatName val="0"/>
          <c:showSerName val="0"/>
          <c:showPercent val="0"/>
          <c:showBubbleSize val="0"/>
        </c:dLbls>
        <c:gapWidth val="150"/>
        <c:axId val="1548827314"/>
        <c:axId val="1382522533"/>
      </c:barChart>
      <c:catAx>
        <c:axId val="154882731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b="0" i="0">
                <a:solidFill>
                  <a:srgbClr val="000000"/>
                </a:solidFill>
                <a:latin typeface="+mn-lt"/>
              </a:defRPr>
            </a:pPr>
            <a:endParaRPr lang="en-US"/>
          </a:p>
        </c:txPr>
        <c:crossAx val="1382522533"/>
        <c:crosses val="autoZero"/>
        <c:auto val="1"/>
        <c:lblAlgn val="ctr"/>
        <c:lblOffset val="100"/>
        <c:noMultiLvlLbl val="1"/>
      </c:catAx>
      <c:valAx>
        <c:axId val="138252253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endParaRPr lang="en-US"/>
          </a:p>
        </c:txPr>
        <c:crossAx val="1548827314"/>
        <c:crosses val="autoZero"/>
        <c:crossBetween val="between"/>
      </c:valAx>
    </c:plotArea>
    <c:legend>
      <c:legendPos val="r"/>
      <c:legendEntry>
        <c:idx val="0"/>
        <c:txPr>
          <a:bodyPr/>
          <a:lstStyle/>
          <a:p>
            <a:pPr lvl="0">
              <a:defRPr b="1" i="0">
                <a:latin typeface="Arial"/>
              </a:defRPr>
            </a:pPr>
            <a:endParaRPr lang="en-US"/>
          </a:p>
        </c:txPr>
      </c:legendEntry>
      <c:layout>
        <c:manualLayout>
          <c:xMode val="edge"/>
          <c:yMode val="edge"/>
          <c:x val="0.90869565217391302"/>
          <c:y val="5.2499999999999998E-2"/>
        </c:manualLayout>
      </c:layout>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9.4964874749310563E-2"/>
          <c:y val="0.12849851425318651"/>
          <c:w val="0.77023062886058158"/>
          <c:h val="0.67683208982509968"/>
        </c:manualLayout>
      </c:layout>
      <c:barChart>
        <c:barDir val="col"/>
        <c:grouping val="clustered"/>
        <c:varyColors val="1"/>
        <c:ser>
          <c:idx val="0"/>
          <c:order val="0"/>
          <c:tx>
            <c:v>Pass</c:v>
          </c:tx>
          <c:spPr>
            <a:solidFill>
              <a:srgbClr val="4F81BD"/>
            </a:solidFill>
            <a:ln cmpd="sng">
              <a:solidFill>
                <a:srgbClr val="000000"/>
              </a:solidFill>
            </a:ln>
          </c:spPr>
          <c:invertIfNegative val="1"/>
          <c:cat>
            <c:strRef>
              <c:f>'Báo cáo kiểm thử'!$C$14:$C$23</c:f>
              <c:strCache>
                <c:ptCount val="10"/>
                <c:pt idx="0">
                  <c:v>Đăng nhập</c:v>
                </c:pt>
                <c:pt idx="1">
                  <c:v>Chỉnh sửa giỏ hàng</c:v>
                </c:pt>
                <c:pt idx="2">
                  <c:v>Xem giỏ hàng</c:v>
                </c:pt>
                <c:pt idx="3">
                  <c:v>Tìm kiếm</c:v>
                </c:pt>
                <c:pt idx="4">
                  <c:v>Chi tiết sản phẩm</c:v>
                </c:pt>
                <c:pt idx="5">
                  <c:v>Đặt hàng</c:v>
                </c:pt>
                <c:pt idx="6">
                  <c:v>Quản lý sản phẩm</c:v>
                </c:pt>
                <c:pt idx="7">
                  <c:v>Quản lý danh mục</c:v>
                </c:pt>
                <c:pt idx="8">
                  <c:v>Quản lý tài khoản</c:v>
                </c:pt>
                <c:pt idx="9">
                  <c:v>Báo cáo - Thống kê</c:v>
                </c:pt>
              </c:strCache>
            </c:strRef>
          </c:cat>
          <c:val>
            <c:numRef>
              <c:f>'Báo cáo kiểm thử'!$D$14:$D$23</c:f>
              <c:numCache>
                <c:formatCode>0</c:formatCode>
                <c:ptCount val="10"/>
                <c:pt idx="0">
                  <c:v>10</c:v>
                </c:pt>
                <c:pt idx="1">
                  <c:v>9</c:v>
                </c:pt>
                <c:pt idx="2">
                  <c:v>7</c:v>
                </c:pt>
                <c:pt idx="3">
                  <c:v>7</c:v>
                </c:pt>
                <c:pt idx="4">
                  <c:v>7</c:v>
                </c:pt>
                <c:pt idx="5">
                  <c:v>12</c:v>
                </c:pt>
                <c:pt idx="6">
                  <c:v>13</c:v>
                </c:pt>
                <c:pt idx="7">
                  <c:v>10</c:v>
                </c:pt>
                <c:pt idx="8">
                  <c:v>10</c:v>
                </c:pt>
                <c:pt idx="9">
                  <c:v>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7D8-4BAF-B19B-23743EB4B3D7}"/>
            </c:ext>
          </c:extLst>
        </c:ser>
        <c:ser>
          <c:idx val="1"/>
          <c:order val="1"/>
          <c:tx>
            <c:v>Fail</c:v>
          </c:tx>
          <c:spPr>
            <a:solidFill>
              <a:srgbClr val="C0504D"/>
            </a:solidFill>
            <a:ln cmpd="sng">
              <a:solidFill>
                <a:srgbClr val="000000"/>
              </a:solidFill>
            </a:ln>
          </c:spPr>
          <c:invertIfNegative val="1"/>
          <c:cat>
            <c:strRef>
              <c:f>'Báo cáo kiểm thử'!$C$14:$C$23</c:f>
              <c:strCache>
                <c:ptCount val="10"/>
                <c:pt idx="0">
                  <c:v>Đăng nhập</c:v>
                </c:pt>
                <c:pt idx="1">
                  <c:v>Chỉnh sửa giỏ hàng</c:v>
                </c:pt>
                <c:pt idx="2">
                  <c:v>Xem giỏ hàng</c:v>
                </c:pt>
                <c:pt idx="3">
                  <c:v>Tìm kiếm</c:v>
                </c:pt>
                <c:pt idx="4">
                  <c:v>Chi tiết sản phẩm</c:v>
                </c:pt>
                <c:pt idx="5">
                  <c:v>Đặt hàng</c:v>
                </c:pt>
                <c:pt idx="6">
                  <c:v>Quản lý sản phẩm</c:v>
                </c:pt>
                <c:pt idx="7">
                  <c:v>Quản lý danh mục</c:v>
                </c:pt>
                <c:pt idx="8">
                  <c:v>Quản lý tài khoản</c:v>
                </c:pt>
                <c:pt idx="9">
                  <c:v>Báo cáo - Thống kê</c:v>
                </c:pt>
              </c:strCache>
            </c:strRef>
          </c:cat>
          <c:val>
            <c:numRef>
              <c:f>'Báo cáo kiểm thử'!$E$14:$E$23</c:f>
              <c:numCache>
                <c:formatCode>0</c:formatCode>
                <c:ptCount val="10"/>
                <c:pt idx="0">
                  <c:v>0</c:v>
                </c:pt>
                <c:pt idx="1">
                  <c:v>1</c:v>
                </c:pt>
                <c:pt idx="2">
                  <c:v>0</c:v>
                </c:pt>
                <c:pt idx="3">
                  <c:v>1</c:v>
                </c:pt>
                <c:pt idx="4">
                  <c:v>0</c:v>
                </c:pt>
                <c:pt idx="5">
                  <c:v>0</c:v>
                </c:pt>
                <c:pt idx="6">
                  <c:v>3</c:v>
                </c:pt>
                <c:pt idx="7">
                  <c:v>0</c:v>
                </c:pt>
                <c:pt idx="8">
                  <c:v>0</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7D8-4BAF-B19B-23743EB4B3D7}"/>
            </c:ext>
          </c:extLst>
        </c:ser>
        <c:ser>
          <c:idx val="2"/>
          <c:order val="2"/>
          <c:tx>
            <c:v>Untested</c:v>
          </c:tx>
          <c:spPr>
            <a:solidFill>
              <a:srgbClr val="9BBB59"/>
            </a:solidFill>
            <a:ln cmpd="sng">
              <a:solidFill>
                <a:srgbClr val="000000"/>
              </a:solidFill>
            </a:ln>
          </c:spPr>
          <c:invertIfNegative val="1"/>
          <c:cat>
            <c:strRef>
              <c:f>'Báo cáo kiểm thử'!$C$14:$C$23</c:f>
              <c:strCache>
                <c:ptCount val="10"/>
                <c:pt idx="0">
                  <c:v>Đăng nhập</c:v>
                </c:pt>
                <c:pt idx="1">
                  <c:v>Chỉnh sửa giỏ hàng</c:v>
                </c:pt>
                <c:pt idx="2">
                  <c:v>Xem giỏ hàng</c:v>
                </c:pt>
                <c:pt idx="3">
                  <c:v>Tìm kiếm</c:v>
                </c:pt>
                <c:pt idx="4">
                  <c:v>Chi tiết sản phẩm</c:v>
                </c:pt>
                <c:pt idx="5">
                  <c:v>Đặt hàng</c:v>
                </c:pt>
                <c:pt idx="6">
                  <c:v>Quản lý sản phẩm</c:v>
                </c:pt>
                <c:pt idx="7">
                  <c:v>Quản lý danh mục</c:v>
                </c:pt>
                <c:pt idx="8">
                  <c:v>Quản lý tài khoản</c:v>
                </c:pt>
                <c:pt idx="9">
                  <c:v>Báo cáo - Thống kê</c:v>
                </c:pt>
              </c:strCache>
            </c:strRef>
          </c:cat>
          <c:val>
            <c:numRef>
              <c:f>'Báo cáo kiểm thử'!$F$14:$F$23</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7D8-4BAF-B19B-23743EB4B3D7}"/>
            </c:ext>
          </c:extLst>
        </c:ser>
        <c:ser>
          <c:idx val="3"/>
          <c:order val="3"/>
          <c:tx>
            <c:v>N/A</c:v>
          </c:tx>
          <c:spPr>
            <a:solidFill>
              <a:srgbClr val="8064A2"/>
            </a:solidFill>
            <a:ln cmpd="sng">
              <a:solidFill>
                <a:srgbClr val="000000"/>
              </a:solidFill>
            </a:ln>
          </c:spPr>
          <c:invertIfNegative val="1"/>
          <c:cat>
            <c:strRef>
              <c:f>'Báo cáo kiểm thử'!$C$14:$C$23</c:f>
              <c:strCache>
                <c:ptCount val="10"/>
                <c:pt idx="0">
                  <c:v>Đăng nhập</c:v>
                </c:pt>
                <c:pt idx="1">
                  <c:v>Chỉnh sửa giỏ hàng</c:v>
                </c:pt>
                <c:pt idx="2">
                  <c:v>Xem giỏ hàng</c:v>
                </c:pt>
                <c:pt idx="3">
                  <c:v>Tìm kiếm</c:v>
                </c:pt>
                <c:pt idx="4">
                  <c:v>Chi tiết sản phẩm</c:v>
                </c:pt>
                <c:pt idx="5">
                  <c:v>Đặt hàng</c:v>
                </c:pt>
                <c:pt idx="6">
                  <c:v>Quản lý sản phẩm</c:v>
                </c:pt>
                <c:pt idx="7">
                  <c:v>Quản lý danh mục</c:v>
                </c:pt>
                <c:pt idx="8">
                  <c:v>Quản lý tài khoản</c:v>
                </c:pt>
                <c:pt idx="9">
                  <c:v>Báo cáo - Thống kê</c:v>
                </c:pt>
              </c:strCache>
            </c:strRef>
          </c:cat>
          <c:val>
            <c:numRef>
              <c:f>'Báo cáo kiểm thử'!$G$14:$G$23</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07D8-4BAF-B19B-23743EB4B3D7}"/>
            </c:ext>
          </c:extLst>
        </c:ser>
        <c:dLbls>
          <c:showLegendKey val="0"/>
          <c:showVal val="0"/>
          <c:showCatName val="0"/>
          <c:showSerName val="0"/>
          <c:showPercent val="0"/>
          <c:showBubbleSize val="0"/>
        </c:dLbls>
        <c:gapWidth val="150"/>
        <c:axId val="1462878477"/>
        <c:axId val="749052831"/>
      </c:barChart>
      <c:catAx>
        <c:axId val="146287847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b="0" i="0">
                <a:solidFill>
                  <a:srgbClr val="000000"/>
                </a:solidFill>
                <a:latin typeface="+mn-lt"/>
              </a:defRPr>
            </a:pPr>
            <a:endParaRPr lang="en-US"/>
          </a:p>
        </c:txPr>
        <c:crossAx val="749052831"/>
        <c:crosses val="autoZero"/>
        <c:auto val="1"/>
        <c:lblAlgn val="ctr"/>
        <c:lblOffset val="100"/>
        <c:noMultiLvlLbl val="1"/>
      </c:catAx>
      <c:valAx>
        <c:axId val="7490528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 sourceLinked="1"/>
        <c:majorTickMark val="out"/>
        <c:minorTickMark val="none"/>
        <c:tickLblPos val="nextTo"/>
        <c:spPr>
          <a:ln/>
        </c:spPr>
        <c:txPr>
          <a:bodyPr/>
          <a:lstStyle/>
          <a:p>
            <a:pPr lvl="0">
              <a:defRPr b="0" i="0">
                <a:solidFill>
                  <a:srgbClr val="000000"/>
                </a:solidFill>
                <a:latin typeface="+mn-lt"/>
              </a:defRPr>
            </a:pPr>
            <a:endParaRPr lang="en-US"/>
          </a:p>
        </c:txPr>
        <c:crossAx val="1462878477"/>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50"/>
      <c:rotY val="0"/>
      <c:rAngAx val="1"/>
    </c:view3D>
    <c:floor>
      <c:thickness val="0"/>
    </c:floor>
    <c:sideWall>
      <c:thickness val="0"/>
    </c:sideWall>
    <c:backWall>
      <c:thickness val="0"/>
    </c:backWall>
    <c:plotArea>
      <c:layout/>
      <c:pie3DChart>
        <c:varyColors val="1"/>
        <c:ser>
          <c:idx val="2"/>
          <c:order val="0"/>
          <c:tx>
            <c:strRef>
              <c:f>'Báo cáo kiểm thử'!$B$49</c:f>
              <c:strCache>
                <c:ptCount val="1"/>
                <c:pt idx="0">
                  <c:v>Số lượng defect</c:v>
                </c:pt>
              </c:strCache>
            </c:strRef>
          </c:tx>
          <c:dPt>
            <c:idx val="0"/>
            <c:bubble3D val="0"/>
            <c:spPr>
              <a:solidFill>
                <a:srgbClr val="4F81BD"/>
              </a:solidFill>
            </c:spPr>
            <c:extLst>
              <c:ext xmlns:c16="http://schemas.microsoft.com/office/drawing/2014/chart" uri="{C3380CC4-5D6E-409C-BE32-E72D297353CC}">
                <c16:uniqueId val="{00000027-B09D-46DB-9A7F-23CA8ADC33E6}"/>
              </c:ext>
            </c:extLst>
          </c:dPt>
          <c:cat>
            <c:strRef>
              <c:f>'Báo cáo kiểm thử'!$C$48:$J$48</c:f>
              <c:strCache>
                <c:ptCount val="8"/>
                <c:pt idx="0">
                  <c:v>New</c:v>
                </c:pt>
                <c:pt idx="1">
                  <c:v>In progress</c:v>
                </c:pt>
                <c:pt idx="2">
                  <c:v>Resolved</c:v>
                </c:pt>
                <c:pt idx="3">
                  <c:v>Pending</c:v>
                </c:pt>
                <c:pt idx="4">
                  <c:v>Need confirm</c:v>
                </c:pt>
                <c:pt idx="5">
                  <c:v>Closed</c:v>
                </c:pt>
                <c:pt idx="6">
                  <c:v>Feedback</c:v>
                </c:pt>
                <c:pt idx="7">
                  <c:v>Cancel</c:v>
                </c:pt>
              </c:strCache>
            </c:strRef>
          </c:cat>
          <c:val>
            <c:numRef>
              <c:f>'Báo cáo kiểm thử'!$C$49:$J$49</c:f>
              <c:numCache>
                <c:formatCode>General</c:formatCode>
                <c:ptCount val="8"/>
                <c:pt idx="0">
                  <c:v>6</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26-B09D-46DB-9A7F-23CA8ADC33E6}"/>
            </c:ext>
          </c:extLst>
        </c:ser>
        <c:ser>
          <c:idx val="3"/>
          <c:order val="1"/>
          <c:tx>
            <c:strRef>
              <c:f>'Báo cáo kiểm thử'!$B$49</c:f>
              <c:strCache>
                <c:ptCount val="1"/>
                <c:pt idx="0">
                  <c:v>Số lượng defect</c:v>
                </c:pt>
              </c:strCache>
            </c:strRef>
          </c:tx>
          <c:dPt>
            <c:idx val="0"/>
            <c:bubble3D val="0"/>
            <c:spPr>
              <a:solidFill>
                <a:srgbClr val="4F81BD"/>
              </a:solidFill>
            </c:spPr>
            <c:extLst>
              <c:ext xmlns:c16="http://schemas.microsoft.com/office/drawing/2014/chart" uri="{C3380CC4-5D6E-409C-BE32-E72D297353CC}">
                <c16:uniqueId val="{00000029-B09D-46DB-9A7F-23CA8ADC33E6}"/>
              </c:ext>
            </c:extLst>
          </c:dPt>
          <c:cat>
            <c:strRef>
              <c:f>'Báo cáo kiểm thử'!$C$48:$J$48</c:f>
              <c:strCache>
                <c:ptCount val="8"/>
                <c:pt idx="0">
                  <c:v>New</c:v>
                </c:pt>
                <c:pt idx="1">
                  <c:v>In progress</c:v>
                </c:pt>
                <c:pt idx="2">
                  <c:v>Resolved</c:v>
                </c:pt>
                <c:pt idx="3">
                  <c:v>Pending</c:v>
                </c:pt>
                <c:pt idx="4">
                  <c:v>Need confirm</c:v>
                </c:pt>
                <c:pt idx="5">
                  <c:v>Closed</c:v>
                </c:pt>
                <c:pt idx="6">
                  <c:v>Feedback</c:v>
                </c:pt>
                <c:pt idx="7">
                  <c:v>Cancel</c:v>
                </c:pt>
              </c:strCache>
            </c:strRef>
          </c:cat>
          <c:val>
            <c:numRef>
              <c:f>'Báo cáo kiểm thử'!$C$49:$J$49</c:f>
              <c:numCache>
                <c:formatCode>General</c:formatCode>
                <c:ptCount val="8"/>
                <c:pt idx="0">
                  <c:v>6</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28-B09D-46DB-9A7F-23CA8ADC33E6}"/>
            </c:ext>
          </c:extLst>
        </c:ser>
        <c:ser>
          <c:idx val="1"/>
          <c:order val="2"/>
          <c:tx>
            <c:strRef>
              <c:f>'Báo cáo kiểm thử'!$B$49</c:f>
              <c:strCache>
                <c:ptCount val="1"/>
                <c:pt idx="0">
                  <c:v>Số lượng defect</c:v>
                </c:pt>
              </c:strCache>
            </c:strRef>
          </c:tx>
          <c:dPt>
            <c:idx val="0"/>
            <c:bubble3D val="0"/>
            <c:spPr>
              <a:solidFill>
                <a:srgbClr val="4F81BD"/>
              </a:solidFill>
            </c:spPr>
            <c:extLst>
              <c:ext xmlns:c16="http://schemas.microsoft.com/office/drawing/2014/chart" uri="{C3380CC4-5D6E-409C-BE32-E72D297353CC}">
                <c16:uniqueId val="{00000019-B09D-46DB-9A7F-23CA8ADC33E6}"/>
              </c:ext>
            </c:extLst>
          </c:dPt>
          <c:cat>
            <c:strRef>
              <c:f>'Báo cáo kiểm thử'!$C$48:$J$48</c:f>
              <c:strCache>
                <c:ptCount val="8"/>
                <c:pt idx="0">
                  <c:v>New</c:v>
                </c:pt>
                <c:pt idx="1">
                  <c:v>In progress</c:v>
                </c:pt>
                <c:pt idx="2">
                  <c:v>Resolved</c:v>
                </c:pt>
                <c:pt idx="3">
                  <c:v>Pending</c:v>
                </c:pt>
                <c:pt idx="4">
                  <c:v>Need confirm</c:v>
                </c:pt>
                <c:pt idx="5">
                  <c:v>Closed</c:v>
                </c:pt>
                <c:pt idx="6">
                  <c:v>Feedback</c:v>
                </c:pt>
                <c:pt idx="7">
                  <c:v>Cancel</c:v>
                </c:pt>
              </c:strCache>
            </c:strRef>
          </c:cat>
          <c:val>
            <c:numRef>
              <c:f>'Báo cáo kiểm thử'!$C$49:$J$49</c:f>
              <c:numCache>
                <c:formatCode>General</c:formatCode>
                <c:ptCount val="8"/>
                <c:pt idx="0">
                  <c:v>6</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1A-B09D-46DB-9A7F-23CA8ADC33E6}"/>
            </c:ext>
          </c:extLst>
        </c:ser>
        <c:ser>
          <c:idx val="0"/>
          <c:order val="3"/>
          <c:tx>
            <c:strRef>
              <c:f>'Báo cáo kiểm thử'!$B$49</c:f>
              <c:strCache>
                <c:ptCount val="1"/>
                <c:pt idx="0">
                  <c:v>Số lượng defect</c:v>
                </c:pt>
              </c:strCache>
            </c:strRef>
          </c:tx>
          <c:dPt>
            <c:idx val="0"/>
            <c:bubble3D val="0"/>
            <c:spPr>
              <a:solidFill>
                <a:srgbClr val="4F81BD"/>
              </a:solidFill>
            </c:spPr>
            <c:extLst>
              <c:ext xmlns:c16="http://schemas.microsoft.com/office/drawing/2014/chart" uri="{C3380CC4-5D6E-409C-BE32-E72D297353CC}">
                <c16:uniqueId val="{0000001D-B09D-46DB-9A7F-23CA8ADC33E6}"/>
              </c:ext>
            </c:extLst>
          </c:dPt>
          <c:dLbls>
            <c:dLbl>
              <c:idx val="1"/>
              <c:delete val="1"/>
              <c:extLst>
                <c:ext xmlns:c15="http://schemas.microsoft.com/office/drawing/2012/chart" uri="{CE6537A1-D6FC-4f65-9D91-7224C49458BB}"/>
                <c:ext xmlns:c16="http://schemas.microsoft.com/office/drawing/2014/chart" uri="{C3380CC4-5D6E-409C-BE32-E72D297353CC}">
                  <c16:uniqueId val="{0000001E-B09D-46DB-9A7F-23CA8ADC33E6}"/>
                </c:ext>
              </c:extLst>
            </c:dLbl>
            <c:dLbl>
              <c:idx val="2"/>
              <c:delete val="1"/>
              <c:extLst>
                <c:ext xmlns:c15="http://schemas.microsoft.com/office/drawing/2012/chart" uri="{CE6537A1-D6FC-4f65-9D91-7224C49458BB}"/>
                <c:ext xmlns:c16="http://schemas.microsoft.com/office/drawing/2014/chart" uri="{C3380CC4-5D6E-409C-BE32-E72D297353CC}">
                  <c16:uniqueId val="{0000001F-B09D-46DB-9A7F-23CA8ADC33E6}"/>
                </c:ext>
              </c:extLst>
            </c:dLbl>
            <c:dLbl>
              <c:idx val="3"/>
              <c:delete val="1"/>
              <c:extLst>
                <c:ext xmlns:c15="http://schemas.microsoft.com/office/drawing/2012/chart" uri="{CE6537A1-D6FC-4f65-9D91-7224C49458BB}"/>
                <c:ext xmlns:c16="http://schemas.microsoft.com/office/drawing/2014/chart" uri="{C3380CC4-5D6E-409C-BE32-E72D297353CC}">
                  <c16:uniqueId val="{00000020-B09D-46DB-9A7F-23CA8ADC33E6}"/>
                </c:ext>
              </c:extLst>
            </c:dLbl>
            <c:dLbl>
              <c:idx val="4"/>
              <c:delete val="1"/>
              <c:extLst>
                <c:ext xmlns:c15="http://schemas.microsoft.com/office/drawing/2012/chart" uri="{CE6537A1-D6FC-4f65-9D91-7224C49458BB}"/>
                <c:ext xmlns:c16="http://schemas.microsoft.com/office/drawing/2014/chart" uri="{C3380CC4-5D6E-409C-BE32-E72D297353CC}">
                  <c16:uniqueId val="{00000021-B09D-46DB-9A7F-23CA8ADC33E6}"/>
                </c:ext>
              </c:extLst>
            </c:dLbl>
            <c:dLbl>
              <c:idx val="5"/>
              <c:delete val="1"/>
              <c:extLst>
                <c:ext xmlns:c15="http://schemas.microsoft.com/office/drawing/2012/chart" uri="{CE6537A1-D6FC-4f65-9D91-7224C49458BB}"/>
                <c:ext xmlns:c16="http://schemas.microsoft.com/office/drawing/2014/chart" uri="{C3380CC4-5D6E-409C-BE32-E72D297353CC}">
                  <c16:uniqueId val="{00000022-B09D-46DB-9A7F-23CA8ADC33E6}"/>
                </c:ext>
              </c:extLst>
            </c:dLbl>
            <c:dLbl>
              <c:idx val="6"/>
              <c:delete val="1"/>
              <c:extLst>
                <c:ext xmlns:c15="http://schemas.microsoft.com/office/drawing/2012/chart" uri="{CE6537A1-D6FC-4f65-9D91-7224C49458BB}"/>
                <c:ext xmlns:c16="http://schemas.microsoft.com/office/drawing/2014/chart" uri="{C3380CC4-5D6E-409C-BE32-E72D297353CC}">
                  <c16:uniqueId val="{00000023-B09D-46DB-9A7F-23CA8ADC33E6}"/>
                </c:ext>
              </c:extLst>
            </c:dLbl>
            <c:dLbl>
              <c:idx val="7"/>
              <c:delete val="1"/>
              <c:extLst>
                <c:ext xmlns:c15="http://schemas.microsoft.com/office/drawing/2012/chart" uri="{CE6537A1-D6FC-4f65-9D91-7224C49458BB}"/>
                <c:ext xmlns:c16="http://schemas.microsoft.com/office/drawing/2014/chart" uri="{C3380CC4-5D6E-409C-BE32-E72D297353CC}">
                  <c16:uniqueId val="{00000024-B09D-46DB-9A7F-23CA8ADC33E6}"/>
                </c:ext>
              </c:extLst>
            </c:dLbl>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'Báo cáo kiểm thử'!$C$48:$J$48</c:f>
              <c:strCache>
                <c:ptCount val="8"/>
                <c:pt idx="0">
                  <c:v>New</c:v>
                </c:pt>
                <c:pt idx="1">
                  <c:v>In progress</c:v>
                </c:pt>
                <c:pt idx="2">
                  <c:v>Resolved</c:v>
                </c:pt>
                <c:pt idx="3">
                  <c:v>Pending</c:v>
                </c:pt>
                <c:pt idx="4">
                  <c:v>Need confirm</c:v>
                </c:pt>
                <c:pt idx="5">
                  <c:v>Closed</c:v>
                </c:pt>
                <c:pt idx="6">
                  <c:v>Feedback</c:v>
                </c:pt>
                <c:pt idx="7">
                  <c:v>Cancel</c:v>
                </c:pt>
              </c:strCache>
            </c:strRef>
          </c:cat>
          <c:val>
            <c:numRef>
              <c:f>'Báo cáo kiểm thử'!$C$49:$J$49</c:f>
              <c:numCache>
                <c:formatCode>General</c:formatCode>
                <c:ptCount val="8"/>
                <c:pt idx="0">
                  <c:v>6</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25-B09D-46DB-9A7F-23CA8ADC33E6}"/>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Lỗi</c:v>
          </c:tx>
          <c:spPr>
            <a:solidFill>
              <a:schemeClr val="accent1"/>
            </a:solidFill>
            <a:ln>
              <a:noFill/>
            </a:ln>
            <a:effectLst/>
          </c:spPr>
          <c:invertIfNegative val="0"/>
          <c:cat>
            <c:strRef>
              <c:f>'Báo cáo kiểm thử'!$H$56:$H$58</c:f>
              <c:strCache>
                <c:ptCount val="3"/>
                <c:pt idx="0">
                  <c:v>High (Cao)</c:v>
                </c:pt>
                <c:pt idx="1">
                  <c:v>Medium (Trung bình)</c:v>
                </c:pt>
                <c:pt idx="2">
                  <c:v>Low (Thấp)</c:v>
                </c:pt>
              </c:strCache>
            </c:strRef>
          </c:cat>
          <c:val>
            <c:numRef>
              <c:f>'Báo cáo kiểm thử'!$I$56:$I$58</c:f>
              <c:numCache>
                <c:formatCode>General</c:formatCode>
                <c:ptCount val="3"/>
                <c:pt idx="0">
                  <c:v>3</c:v>
                </c:pt>
                <c:pt idx="1">
                  <c:v>3</c:v>
                </c:pt>
                <c:pt idx="2">
                  <c:v>0</c:v>
                </c:pt>
              </c:numCache>
            </c:numRef>
          </c:val>
          <c:extLst>
            <c:ext xmlns:c16="http://schemas.microsoft.com/office/drawing/2014/chart" uri="{C3380CC4-5D6E-409C-BE32-E72D297353CC}">
              <c16:uniqueId val="{00000009-2D19-41AD-A70C-F165E233DCC6}"/>
            </c:ext>
          </c:extLst>
        </c:ser>
        <c:dLbls>
          <c:showLegendKey val="0"/>
          <c:showVal val="0"/>
          <c:showCatName val="0"/>
          <c:showSerName val="0"/>
          <c:showPercent val="0"/>
          <c:showBubbleSize val="0"/>
        </c:dLbls>
        <c:gapWidth val="219"/>
        <c:overlap val="-27"/>
        <c:axId val="620734160"/>
        <c:axId val="620734488"/>
      </c:barChart>
      <c:catAx>
        <c:axId val="62073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34488"/>
        <c:crosses val="autoZero"/>
        <c:auto val="1"/>
        <c:lblAlgn val="ctr"/>
        <c:lblOffset val="100"/>
        <c:noMultiLvlLbl val="0"/>
      </c:catAx>
      <c:valAx>
        <c:axId val="620734488"/>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734160"/>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266700</xdr:colOff>
      <xdr:row>77</xdr:row>
      <xdr:rowOff>76200</xdr:rowOff>
    </xdr:from>
    <xdr:ext cx="8782050" cy="376237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1085850</xdr:colOff>
      <xdr:row>27</xdr:row>
      <xdr:rowOff>161925</xdr:rowOff>
    </xdr:from>
    <xdr:ext cx="8267700" cy="3209925"/>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149225</xdr:colOff>
      <xdr:row>50</xdr:row>
      <xdr:rowOff>28575</xdr:rowOff>
    </xdr:from>
    <xdr:ext cx="4572000" cy="2619375"/>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9</xdr:col>
      <xdr:colOff>800100</xdr:colOff>
      <xdr:row>52</xdr:row>
      <xdr:rowOff>33867</xdr:rowOff>
    </xdr:from>
    <xdr:to>
      <xdr:col>15</xdr:col>
      <xdr:colOff>71967</xdr:colOff>
      <xdr:row>65</xdr:row>
      <xdr:rowOff>42334</xdr:rowOff>
    </xdr:to>
    <xdr:graphicFrame macro="">
      <xdr:nvGraphicFramePr>
        <xdr:cNvPr id="7" name="Chart 6">
          <a:extLst>
            <a:ext uri="{FF2B5EF4-FFF2-40B4-BE49-F238E27FC236}">
              <a16:creationId xmlns:a16="http://schemas.microsoft.com/office/drawing/2014/main" id="{CC5BE5DB-A514-458C-9E8D-F993E1073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FF"/>
  </sheetPr>
  <dimension ref="A1:AA1004"/>
  <sheetViews>
    <sheetView tabSelected="1" topLeftCell="E47" zoomScale="67" zoomScaleNormal="69" workbookViewId="0">
      <selection activeCell="S60" sqref="S60"/>
    </sheetView>
  </sheetViews>
  <sheetFormatPr defaultColWidth="14.3984375" defaultRowHeight="15" customHeight="1"/>
  <cols>
    <col min="1" max="1" width="6" customWidth="1"/>
    <col min="2" max="2" width="25.3984375" customWidth="1"/>
    <col min="3" max="3" width="25.59765625" customWidth="1"/>
    <col min="4" max="4" width="26.296875" customWidth="1"/>
    <col min="5" max="5" width="23.3984375" customWidth="1"/>
    <col min="6" max="6" width="23.09765625" customWidth="1"/>
    <col min="7" max="7" width="15.3984375" customWidth="1"/>
    <col min="8" max="8" width="27.59765625" customWidth="1"/>
    <col min="9" max="9" width="17.59765625" customWidth="1"/>
    <col min="10" max="10" width="12.59765625" customWidth="1"/>
    <col min="11" max="11" width="24.3984375" customWidth="1"/>
    <col min="12" max="12" width="11.59765625" customWidth="1"/>
    <col min="13" max="13" width="12.296875" customWidth="1"/>
    <col min="14" max="14" width="13.3984375" customWidth="1"/>
    <col min="15" max="16" width="9.09765625" customWidth="1"/>
    <col min="17" max="27" width="8.69921875" customWidth="1"/>
  </cols>
  <sheetData>
    <row r="1" spans="1:27" ht="10.5" customHeight="1">
      <c r="A1" s="1"/>
      <c r="B1" s="2"/>
      <c r="C1" s="3"/>
      <c r="D1" s="2"/>
      <c r="E1" s="2"/>
      <c r="F1" s="2"/>
      <c r="G1" s="2"/>
      <c r="H1" s="2"/>
      <c r="I1" s="2"/>
      <c r="J1" s="2"/>
      <c r="K1" s="2"/>
      <c r="L1" s="2"/>
      <c r="M1" s="2"/>
      <c r="N1" s="2"/>
      <c r="O1" s="2"/>
      <c r="P1" s="2"/>
      <c r="Q1" s="2"/>
      <c r="R1" s="2"/>
      <c r="S1" s="2"/>
      <c r="T1" s="2"/>
      <c r="U1" s="2"/>
      <c r="V1" s="2"/>
      <c r="W1" s="2"/>
      <c r="X1" s="2"/>
      <c r="Y1" s="2"/>
      <c r="Z1" s="2"/>
      <c r="AA1" s="2"/>
    </row>
    <row r="2" spans="1:27" ht="25.5" customHeight="1">
      <c r="A2" s="1"/>
      <c r="B2" s="84" t="s">
        <v>10</v>
      </c>
      <c r="C2" s="75"/>
      <c r="D2" s="75"/>
      <c r="E2" s="75"/>
      <c r="F2" s="75"/>
      <c r="G2" s="75"/>
      <c r="H2" s="72"/>
      <c r="I2" s="2"/>
      <c r="J2" s="2"/>
      <c r="K2" s="2"/>
      <c r="L2" s="2"/>
      <c r="M2" s="2"/>
      <c r="N2" s="2"/>
      <c r="O2" s="2"/>
      <c r="P2" s="2"/>
      <c r="Q2" s="2"/>
      <c r="R2" s="2"/>
      <c r="S2" s="2"/>
      <c r="T2" s="2"/>
      <c r="U2" s="2"/>
      <c r="V2" s="2"/>
      <c r="W2" s="2"/>
      <c r="X2" s="2"/>
      <c r="Y2" s="2"/>
      <c r="Z2" s="2"/>
      <c r="AA2" s="2"/>
    </row>
    <row r="3" spans="1:27" ht="15.75" customHeight="1">
      <c r="A3" s="1"/>
      <c r="B3" s="4"/>
      <c r="C3" s="5"/>
      <c r="D3" s="4"/>
      <c r="E3" s="4"/>
      <c r="F3" s="4"/>
      <c r="G3" s="4"/>
      <c r="H3" s="4"/>
      <c r="I3" s="2"/>
      <c r="J3" s="2"/>
      <c r="K3" s="2"/>
      <c r="L3" s="2"/>
      <c r="M3" s="2"/>
      <c r="N3" s="2"/>
      <c r="O3" s="2"/>
      <c r="P3" s="2"/>
      <c r="Q3" s="2"/>
      <c r="R3" s="2"/>
      <c r="S3" s="2"/>
      <c r="T3" s="2"/>
      <c r="U3" s="2"/>
      <c r="V3" s="2"/>
      <c r="W3" s="2"/>
      <c r="X3" s="2"/>
      <c r="Y3" s="2"/>
      <c r="Z3" s="2"/>
      <c r="AA3" s="2"/>
    </row>
    <row r="4" spans="1:27" ht="15.75" customHeight="1">
      <c r="A4" s="6" t="s">
        <v>11</v>
      </c>
      <c r="B4" s="7" t="s">
        <v>12</v>
      </c>
      <c r="C4" s="8"/>
      <c r="D4" s="4"/>
      <c r="E4" s="4"/>
      <c r="F4" s="4"/>
      <c r="G4" s="4"/>
      <c r="H4" s="4"/>
      <c r="I4" s="2"/>
      <c r="J4" s="2"/>
      <c r="K4" s="2"/>
      <c r="L4" s="2"/>
      <c r="M4" s="2"/>
      <c r="N4" s="2"/>
      <c r="O4" s="2"/>
      <c r="P4" s="2"/>
      <c r="Q4" s="2"/>
      <c r="R4" s="2"/>
      <c r="S4" s="2"/>
      <c r="T4" s="2"/>
      <c r="U4" s="2"/>
      <c r="V4" s="2"/>
      <c r="W4" s="2"/>
      <c r="X4" s="2"/>
      <c r="Y4" s="2"/>
      <c r="Z4" s="2"/>
      <c r="AA4" s="2"/>
    </row>
    <row r="5" spans="1:27" ht="15.75" customHeight="1">
      <c r="A5" s="1"/>
      <c r="B5" s="77" t="s">
        <v>13</v>
      </c>
      <c r="C5" s="65"/>
      <c r="D5" s="78" t="s">
        <v>14</v>
      </c>
      <c r="E5" s="64"/>
      <c r="F5" s="64"/>
      <c r="G5" s="64"/>
      <c r="H5" s="65"/>
      <c r="I5" s="2"/>
      <c r="J5" s="2"/>
      <c r="K5" s="2"/>
      <c r="L5" s="2"/>
      <c r="M5" s="2"/>
      <c r="N5" s="2"/>
      <c r="O5" s="2"/>
      <c r="P5" s="2"/>
      <c r="Q5" s="2"/>
      <c r="R5" s="2"/>
      <c r="S5" s="2"/>
      <c r="T5" s="2"/>
      <c r="U5" s="2"/>
      <c r="V5" s="2"/>
      <c r="W5" s="2"/>
      <c r="X5" s="2"/>
      <c r="Y5" s="2"/>
      <c r="Z5" s="2"/>
      <c r="AA5" s="2"/>
    </row>
    <row r="6" spans="1:27" ht="15.75" customHeight="1">
      <c r="A6" s="1"/>
      <c r="B6" s="77" t="s">
        <v>15</v>
      </c>
      <c r="C6" s="65"/>
      <c r="D6" s="78" t="s">
        <v>16</v>
      </c>
      <c r="E6" s="64"/>
      <c r="F6" s="64"/>
      <c r="G6" s="64"/>
      <c r="H6" s="65"/>
      <c r="I6" s="2"/>
      <c r="J6" s="2"/>
      <c r="K6" s="2"/>
      <c r="L6" s="2"/>
      <c r="M6" s="2"/>
      <c r="N6" s="2"/>
      <c r="O6" s="2"/>
      <c r="P6" s="2"/>
      <c r="Q6" s="2"/>
      <c r="R6" s="2"/>
      <c r="S6" s="2"/>
      <c r="T6" s="2"/>
      <c r="U6" s="2"/>
      <c r="V6" s="2"/>
      <c r="W6" s="2"/>
      <c r="X6" s="2"/>
      <c r="Y6" s="2"/>
      <c r="Z6" s="2"/>
      <c r="AA6" s="2"/>
    </row>
    <row r="7" spans="1:27" ht="33" customHeight="1">
      <c r="A7" s="1"/>
      <c r="B7" s="77" t="s">
        <v>17</v>
      </c>
      <c r="C7" s="65"/>
      <c r="D7" s="78" t="s">
        <v>18</v>
      </c>
      <c r="E7" s="64"/>
      <c r="F7" s="64"/>
      <c r="G7" s="64"/>
      <c r="H7" s="65"/>
      <c r="I7" s="2"/>
      <c r="J7" s="2"/>
      <c r="K7" s="2"/>
      <c r="L7" s="2"/>
      <c r="M7" s="2"/>
      <c r="N7" s="2"/>
      <c r="O7" s="2"/>
      <c r="P7" s="2"/>
      <c r="Q7" s="2"/>
      <c r="R7" s="2"/>
      <c r="S7" s="2"/>
      <c r="T7" s="2"/>
      <c r="U7" s="2"/>
      <c r="V7" s="2"/>
      <c r="W7" s="2"/>
      <c r="X7" s="2"/>
      <c r="Y7" s="2"/>
      <c r="Z7" s="2"/>
      <c r="AA7" s="2"/>
    </row>
    <row r="8" spans="1:27" ht="33" customHeight="1">
      <c r="A8" s="1"/>
      <c r="B8" s="77" t="s">
        <v>19</v>
      </c>
      <c r="C8" s="65"/>
      <c r="D8" s="78" t="s">
        <v>20</v>
      </c>
      <c r="E8" s="64"/>
      <c r="F8" s="64"/>
      <c r="G8" s="64"/>
      <c r="H8" s="65"/>
      <c r="I8" s="2"/>
      <c r="J8" s="2"/>
      <c r="K8" s="2"/>
      <c r="L8" s="2"/>
      <c r="M8" s="2"/>
      <c r="N8" s="2"/>
      <c r="O8" s="2"/>
      <c r="P8" s="2"/>
      <c r="Q8" s="2"/>
      <c r="R8" s="2"/>
      <c r="S8" s="2"/>
      <c r="T8" s="2"/>
      <c r="U8" s="2"/>
      <c r="V8" s="2"/>
      <c r="W8" s="2"/>
      <c r="X8" s="2"/>
      <c r="Y8" s="2"/>
      <c r="Z8" s="2"/>
      <c r="AA8" s="2"/>
    </row>
    <row r="9" spans="1:27" ht="15.75" customHeight="1">
      <c r="A9" s="1"/>
      <c r="B9" s="77" t="s">
        <v>21</v>
      </c>
      <c r="C9" s="65"/>
      <c r="D9" s="81"/>
      <c r="E9" s="64"/>
      <c r="F9" s="64"/>
      <c r="G9" s="64"/>
      <c r="H9" s="65"/>
      <c r="I9" s="2"/>
      <c r="J9" s="2"/>
      <c r="K9" s="2"/>
      <c r="L9" s="2"/>
      <c r="M9" s="2"/>
      <c r="N9" s="2"/>
      <c r="O9" s="2"/>
      <c r="P9" s="2"/>
      <c r="Q9" s="2"/>
      <c r="R9" s="2"/>
      <c r="S9" s="2"/>
      <c r="T9" s="2"/>
      <c r="U9" s="2"/>
      <c r="V9" s="2"/>
      <c r="W9" s="2"/>
      <c r="X9" s="2"/>
      <c r="Y9" s="2"/>
      <c r="Z9" s="2"/>
      <c r="AA9" s="2"/>
    </row>
    <row r="10" spans="1:27" ht="15.75" customHeight="1">
      <c r="A10" s="1"/>
      <c r="B10" s="4"/>
      <c r="C10" s="5"/>
      <c r="D10" s="4"/>
      <c r="E10" s="4"/>
      <c r="F10" s="4"/>
      <c r="G10" s="4"/>
      <c r="H10" s="4"/>
      <c r="I10" s="2"/>
      <c r="J10" s="2"/>
      <c r="K10" s="2"/>
      <c r="L10" s="2"/>
      <c r="M10" s="2"/>
      <c r="N10" s="2"/>
      <c r="O10" s="2"/>
      <c r="P10" s="2"/>
      <c r="Q10" s="2"/>
      <c r="R10" s="2"/>
      <c r="S10" s="2"/>
      <c r="T10" s="2"/>
      <c r="U10" s="2"/>
      <c r="V10" s="2"/>
      <c r="W10" s="2"/>
      <c r="X10" s="2"/>
      <c r="Y10" s="2"/>
      <c r="Z10" s="2"/>
      <c r="AA10" s="2"/>
    </row>
    <row r="11" spans="1:27" ht="15.75" customHeight="1">
      <c r="A11" s="6" t="s">
        <v>22</v>
      </c>
      <c r="B11" s="7" t="s">
        <v>23</v>
      </c>
      <c r="C11" s="8"/>
      <c r="D11" s="2"/>
      <c r="E11" s="2"/>
      <c r="F11" s="2"/>
      <c r="G11" s="2"/>
      <c r="H11" s="9"/>
      <c r="I11" s="2"/>
      <c r="J11" s="2"/>
      <c r="K11" s="2"/>
      <c r="L11" s="2"/>
      <c r="M11" s="2"/>
      <c r="N11" s="2"/>
      <c r="O11" s="2"/>
      <c r="P11" s="2"/>
      <c r="Q11" s="2"/>
      <c r="R11" s="2"/>
      <c r="S11" s="2"/>
      <c r="T11" s="2"/>
      <c r="U11" s="2"/>
      <c r="V11" s="2"/>
      <c r="W11" s="2"/>
      <c r="X11" s="2"/>
      <c r="Y11" s="2"/>
      <c r="Z11" s="2"/>
      <c r="AA11" s="2"/>
    </row>
    <row r="12" spans="1:27" ht="15.75" customHeight="1">
      <c r="A12" s="1"/>
      <c r="B12" s="2"/>
      <c r="C12" s="3"/>
      <c r="D12" s="2"/>
      <c r="E12" s="2"/>
      <c r="F12" s="2"/>
      <c r="G12" s="2"/>
      <c r="H12" s="2"/>
      <c r="I12" s="2"/>
      <c r="J12" s="2"/>
      <c r="K12" s="2"/>
      <c r="L12" s="2"/>
      <c r="M12" s="2"/>
      <c r="N12" s="2"/>
      <c r="O12" s="2"/>
      <c r="P12" s="2"/>
      <c r="Q12" s="2"/>
      <c r="R12" s="2"/>
      <c r="S12" s="2"/>
      <c r="T12" s="2"/>
      <c r="U12" s="2"/>
      <c r="V12" s="2"/>
      <c r="W12" s="2"/>
      <c r="X12" s="2"/>
      <c r="Y12" s="2"/>
      <c r="Z12" s="2"/>
      <c r="AA12" s="2"/>
    </row>
    <row r="13" spans="1:27" ht="18.75" customHeight="1">
      <c r="A13" s="1"/>
      <c r="B13" s="10" t="s">
        <v>24</v>
      </c>
      <c r="C13" s="11" t="s">
        <v>25</v>
      </c>
      <c r="D13" s="12" t="s">
        <v>26</v>
      </c>
      <c r="E13" s="12" t="s">
        <v>27</v>
      </c>
      <c r="F13" s="12" t="s">
        <v>28</v>
      </c>
      <c r="G13" s="12" t="s">
        <v>29</v>
      </c>
      <c r="H13" s="12" t="s">
        <v>30</v>
      </c>
      <c r="I13" s="2"/>
      <c r="J13" s="2"/>
      <c r="K13" s="2"/>
      <c r="L13" s="2"/>
      <c r="M13" s="2"/>
      <c r="N13" s="2"/>
      <c r="O13" s="2"/>
      <c r="P13" s="2"/>
      <c r="Q13" s="2"/>
      <c r="R13" s="2"/>
      <c r="S13" s="2"/>
      <c r="T13" s="2"/>
      <c r="U13" s="2"/>
      <c r="V13" s="2"/>
      <c r="W13" s="2"/>
      <c r="X13" s="2"/>
      <c r="Y13" s="2"/>
      <c r="Z13" s="2"/>
      <c r="AA13" s="2"/>
    </row>
    <row r="14" spans="1:27" ht="15.75" customHeight="1">
      <c r="A14" s="13"/>
      <c r="B14" s="14">
        <v>1</v>
      </c>
      <c r="C14" s="15" t="s">
        <v>0</v>
      </c>
      <c r="D14" s="16">
        <v>10</v>
      </c>
      <c r="E14" s="16">
        <v>0</v>
      </c>
      <c r="F14" s="16">
        <v>0</v>
      </c>
      <c r="G14" s="16">
        <v>0</v>
      </c>
      <c r="H14" s="16">
        <f t="shared" ref="H14:H23" si="0">SUM(D14:G14)</f>
        <v>10</v>
      </c>
      <c r="I14" s="17"/>
      <c r="J14" s="2"/>
      <c r="K14" s="2"/>
      <c r="L14" s="2"/>
      <c r="M14" s="2"/>
      <c r="N14" s="2"/>
      <c r="O14" s="2"/>
      <c r="P14" s="2"/>
      <c r="Q14" s="2"/>
      <c r="R14" s="2"/>
      <c r="S14" s="2"/>
      <c r="T14" s="2"/>
      <c r="U14" s="2"/>
      <c r="V14" s="2"/>
      <c r="W14" s="2"/>
      <c r="X14" s="2"/>
      <c r="Y14" s="2"/>
      <c r="Z14" s="2"/>
      <c r="AA14" s="2"/>
    </row>
    <row r="15" spans="1:27" ht="15.75" customHeight="1">
      <c r="A15" s="13"/>
      <c r="B15" s="14">
        <v>2</v>
      </c>
      <c r="C15" s="18" t="s">
        <v>2</v>
      </c>
      <c r="D15" s="16">
        <v>9</v>
      </c>
      <c r="E15" s="16">
        <v>1</v>
      </c>
      <c r="F15" s="16">
        <v>0</v>
      </c>
      <c r="G15" s="16">
        <v>0</v>
      </c>
      <c r="H15" s="16">
        <f t="shared" si="0"/>
        <v>10</v>
      </c>
      <c r="I15" s="17"/>
      <c r="J15" s="2"/>
      <c r="K15" s="2"/>
      <c r="L15" s="2"/>
      <c r="M15" s="2"/>
      <c r="N15" s="2"/>
      <c r="O15" s="2"/>
      <c r="P15" s="2"/>
      <c r="Q15" s="2"/>
      <c r="R15" s="2"/>
      <c r="S15" s="2"/>
      <c r="T15" s="2"/>
      <c r="U15" s="2"/>
      <c r="V15" s="2"/>
      <c r="W15" s="2"/>
      <c r="X15" s="2"/>
      <c r="Y15" s="2"/>
      <c r="Z15" s="2"/>
      <c r="AA15" s="2"/>
    </row>
    <row r="16" spans="1:27" ht="15.75" customHeight="1">
      <c r="A16" s="13"/>
      <c r="B16" s="14">
        <v>3</v>
      </c>
      <c r="C16" s="18" t="s">
        <v>3</v>
      </c>
      <c r="D16" s="16">
        <v>7</v>
      </c>
      <c r="E16" s="16">
        <v>0</v>
      </c>
      <c r="F16" s="16">
        <v>0</v>
      </c>
      <c r="G16" s="16">
        <v>0</v>
      </c>
      <c r="H16" s="16">
        <f t="shared" si="0"/>
        <v>7</v>
      </c>
      <c r="I16" s="17"/>
      <c r="J16" s="2"/>
      <c r="K16" s="2"/>
      <c r="L16" s="2"/>
      <c r="M16" s="2"/>
      <c r="N16" s="2"/>
      <c r="O16" s="2"/>
      <c r="P16" s="2"/>
      <c r="Q16" s="2"/>
      <c r="R16" s="2"/>
      <c r="S16" s="2"/>
      <c r="T16" s="2"/>
      <c r="U16" s="2"/>
      <c r="V16" s="2"/>
      <c r="W16" s="2"/>
      <c r="X16" s="2"/>
      <c r="Y16" s="2"/>
      <c r="Z16" s="2"/>
      <c r="AA16" s="2"/>
    </row>
    <row r="17" spans="1:27" ht="15" customHeight="1">
      <c r="A17" s="13"/>
      <c r="B17" s="14">
        <v>4</v>
      </c>
      <c r="C17" s="18" t="s">
        <v>4</v>
      </c>
      <c r="D17" s="16">
        <v>7</v>
      </c>
      <c r="E17" s="16">
        <v>1</v>
      </c>
      <c r="F17" s="16">
        <v>0</v>
      </c>
      <c r="G17" s="16">
        <v>0</v>
      </c>
      <c r="H17" s="16">
        <f t="shared" si="0"/>
        <v>8</v>
      </c>
      <c r="I17" s="17"/>
      <c r="J17" s="2"/>
      <c r="K17" s="2"/>
      <c r="L17" s="2"/>
      <c r="M17" s="2"/>
      <c r="N17" s="2"/>
      <c r="O17" s="2"/>
      <c r="P17" s="2"/>
      <c r="Q17" s="2"/>
      <c r="R17" s="2"/>
      <c r="S17" s="2"/>
      <c r="T17" s="2"/>
      <c r="U17" s="2"/>
      <c r="V17" s="2"/>
      <c r="W17" s="2"/>
      <c r="X17" s="2"/>
      <c r="Y17" s="2"/>
      <c r="Z17" s="2"/>
      <c r="AA17" s="2"/>
    </row>
    <row r="18" spans="1:27" ht="15" customHeight="1">
      <c r="A18" s="13"/>
      <c r="B18" s="14">
        <v>5</v>
      </c>
      <c r="C18" s="18" t="s">
        <v>5</v>
      </c>
      <c r="D18" s="19">
        <v>7</v>
      </c>
      <c r="E18" s="19">
        <v>0</v>
      </c>
      <c r="F18" s="19">
        <v>0</v>
      </c>
      <c r="G18" s="19">
        <v>0</v>
      </c>
      <c r="H18" s="16">
        <f t="shared" si="0"/>
        <v>7</v>
      </c>
      <c r="I18" s="17"/>
      <c r="J18" s="2"/>
      <c r="K18" s="2"/>
      <c r="L18" s="2"/>
      <c r="M18" s="2"/>
      <c r="N18" s="2"/>
      <c r="O18" s="2"/>
      <c r="P18" s="2"/>
      <c r="Q18" s="2"/>
      <c r="R18" s="2"/>
      <c r="S18" s="2"/>
      <c r="T18" s="2"/>
      <c r="U18" s="2"/>
      <c r="V18" s="2"/>
      <c r="W18" s="2"/>
      <c r="X18" s="2"/>
      <c r="Y18" s="2"/>
      <c r="Z18" s="2"/>
      <c r="AA18" s="2"/>
    </row>
    <row r="19" spans="1:27" ht="15" customHeight="1">
      <c r="A19" s="13"/>
      <c r="B19" s="14">
        <v>6</v>
      </c>
      <c r="C19" s="18" t="s">
        <v>6</v>
      </c>
      <c r="D19" s="19">
        <v>12</v>
      </c>
      <c r="E19" s="19">
        <v>0</v>
      </c>
      <c r="F19" s="19">
        <v>0</v>
      </c>
      <c r="G19" s="19">
        <v>0</v>
      </c>
      <c r="H19" s="16">
        <f t="shared" si="0"/>
        <v>12</v>
      </c>
      <c r="I19" s="17"/>
      <c r="J19" s="2"/>
      <c r="K19" s="2"/>
      <c r="L19" s="2"/>
      <c r="M19" s="2"/>
      <c r="N19" s="2"/>
      <c r="O19" s="2"/>
      <c r="P19" s="2"/>
      <c r="Q19" s="2"/>
      <c r="R19" s="2"/>
      <c r="S19" s="2"/>
      <c r="T19" s="2"/>
      <c r="U19" s="2"/>
      <c r="V19" s="2"/>
      <c r="W19" s="2"/>
      <c r="X19" s="2"/>
      <c r="Y19" s="2"/>
      <c r="Z19" s="2"/>
      <c r="AA19" s="2"/>
    </row>
    <row r="20" spans="1:27" ht="15" customHeight="1">
      <c r="A20" s="13"/>
      <c r="B20" s="14">
        <v>7</v>
      </c>
      <c r="C20" s="18" t="s">
        <v>7</v>
      </c>
      <c r="D20" s="19">
        <v>13</v>
      </c>
      <c r="E20" s="19">
        <v>3</v>
      </c>
      <c r="F20" s="19">
        <v>0</v>
      </c>
      <c r="G20" s="19">
        <v>0</v>
      </c>
      <c r="H20" s="16">
        <f t="shared" si="0"/>
        <v>16</v>
      </c>
      <c r="I20" s="17"/>
      <c r="J20" s="2"/>
      <c r="K20" s="2"/>
      <c r="L20" s="2"/>
      <c r="M20" s="2"/>
      <c r="N20" s="2"/>
      <c r="O20" s="2"/>
      <c r="P20" s="2"/>
      <c r="Q20" s="2"/>
      <c r="R20" s="2"/>
      <c r="S20" s="2"/>
      <c r="T20" s="2"/>
      <c r="U20" s="2"/>
      <c r="V20" s="2"/>
      <c r="W20" s="2"/>
      <c r="X20" s="2"/>
      <c r="Y20" s="2"/>
      <c r="Z20" s="2"/>
      <c r="AA20" s="2"/>
    </row>
    <row r="21" spans="1:27" ht="15" customHeight="1">
      <c r="A21" s="13"/>
      <c r="B21" s="14">
        <v>8</v>
      </c>
      <c r="C21" s="18" t="s">
        <v>8</v>
      </c>
      <c r="D21" s="19">
        <v>10</v>
      </c>
      <c r="E21" s="19">
        <v>0</v>
      </c>
      <c r="F21" s="19">
        <v>0</v>
      </c>
      <c r="G21" s="19">
        <v>0</v>
      </c>
      <c r="H21" s="16">
        <f t="shared" si="0"/>
        <v>10</v>
      </c>
      <c r="I21" s="17"/>
      <c r="J21" s="2"/>
      <c r="K21" s="2"/>
      <c r="L21" s="2"/>
      <c r="M21" s="2"/>
      <c r="N21" s="2"/>
      <c r="O21" s="2"/>
      <c r="P21" s="2"/>
      <c r="Q21" s="2"/>
      <c r="R21" s="2"/>
      <c r="S21" s="2"/>
      <c r="T21" s="2"/>
      <c r="U21" s="2"/>
      <c r="V21" s="2"/>
      <c r="W21" s="2"/>
      <c r="X21" s="2"/>
      <c r="Y21" s="2"/>
      <c r="Z21" s="2"/>
      <c r="AA21" s="2"/>
    </row>
    <row r="22" spans="1:27" ht="15" customHeight="1">
      <c r="A22" s="13"/>
      <c r="B22" s="14">
        <v>9</v>
      </c>
      <c r="C22" s="18" t="s">
        <v>31</v>
      </c>
      <c r="D22" s="16">
        <v>10</v>
      </c>
      <c r="E22" s="16">
        <v>0</v>
      </c>
      <c r="F22" s="16">
        <v>0</v>
      </c>
      <c r="G22" s="16">
        <v>0</v>
      </c>
      <c r="H22" s="16">
        <f t="shared" si="0"/>
        <v>10</v>
      </c>
      <c r="I22" s="17"/>
      <c r="J22" s="2"/>
      <c r="K22" s="2"/>
      <c r="L22" s="2"/>
      <c r="M22" s="2"/>
      <c r="N22" s="2"/>
      <c r="O22" s="2"/>
      <c r="P22" s="2"/>
      <c r="Q22" s="2"/>
      <c r="R22" s="2"/>
      <c r="S22" s="2"/>
      <c r="T22" s="2"/>
      <c r="U22" s="2"/>
      <c r="V22" s="2"/>
      <c r="W22" s="2"/>
      <c r="X22" s="2"/>
      <c r="Y22" s="2"/>
      <c r="Z22" s="2"/>
      <c r="AA22" s="2"/>
    </row>
    <row r="23" spans="1:27" ht="15" customHeight="1">
      <c r="A23" s="13"/>
      <c r="B23" s="14">
        <v>10</v>
      </c>
      <c r="C23" s="18" t="s">
        <v>32</v>
      </c>
      <c r="D23" s="16">
        <v>9</v>
      </c>
      <c r="E23" s="16">
        <v>1</v>
      </c>
      <c r="F23" s="16">
        <v>0</v>
      </c>
      <c r="G23" s="16">
        <v>0</v>
      </c>
      <c r="H23" s="16">
        <f t="shared" si="0"/>
        <v>10</v>
      </c>
      <c r="I23" s="17"/>
      <c r="J23" s="2"/>
      <c r="K23" s="2"/>
      <c r="L23" s="2"/>
      <c r="M23" s="2"/>
      <c r="N23" s="2"/>
      <c r="O23" s="2"/>
      <c r="P23" s="2"/>
      <c r="Q23" s="2"/>
      <c r="R23" s="2"/>
      <c r="S23" s="2"/>
      <c r="T23" s="2"/>
      <c r="U23" s="2"/>
      <c r="V23" s="2"/>
      <c r="W23" s="2"/>
      <c r="X23" s="2"/>
      <c r="Y23" s="2"/>
      <c r="Z23" s="2"/>
      <c r="AA23" s="2"/>
    </row>
    <row r="24" spans="1:27" ht="15.75" customHeight="1">
      <c r="A24" s="1"/>
      <c r="B24" s="82" t="s">
        <v>33</v>
      </c>
      <c r="C24" s="83"/>
      <c r="D24" s="20">
        <f t="shared" ref="D24:H24" si="1">SUM(D14:D23)</f>
        <v>94</v>
      </c>
      <c r="E24" s="20">
        <f t="shared" si="1"/>
        <v>6</v>
      </c>
      <c r="F24" s="20">
        <f t="shared" si="1"/>
        <v>0</v>
      </c>
      <c r="G24" s="20">
        <f t="shared" si="1"/>
        <v>0</v>
      </c>
      <c r="H24" s="21">
        <f t="shared" si="1"/>
        <v>100</v>
      </c>
      <c r="I24" s="2"/>
      <c r="J24" s="2"/>
      <c r="K24" s="2"/>
      <c r="L24" s="2"/>
      <c r="M24" s="2"/>
      <c r="N24" s="2"/>
      <c r="O24" s="2"/>
      <c r="P24" s="2"/>
      <c r="Q24" s="2"/>
      <c r="R24" s="2"/>
      <c r="S24" s="2"/>
      <c r="T24" s="2"/>
      <c r="U24" s="2"/>
      <c r="V24" s="2"/>
      <c r="W24" s="2"/>
      <c r="X24" s="2"/>
      <c r="Y24" s="2"/>
      <c r="Z24" s="2"/>
      <c r="AA24" s="2"/>
    </row>
    <row r="25" spans="1:27" ht="15.75" customHeight="1">
      <c r="A25" s="1"/>
      <c r="B25" s="22"/>
      <c r="C25" s="3"/>
      <c r="D25" s="23"/>
      <c r="E25" s="24"/>
      <c r="F25" s="24"/>
      <c r="G25" s="24"/>
      <c r="H25" s="25"/>
      <c r="I25" s="2"/>
      <c r="J25" s="2"/>
      <c r="K25" s="26"/>
      <c r="L25" s="79"/>
      <c r="M25" s="75"/>
      <c r="N25" s="72"/>
      <c r="O25" s="80"/>
      <c r="P25" s="72"/>
      <c r="Q25" s="2"/>
      <c r="R25" s="2"/>
      <c r="S25" s="2"/>
      <c r="T25" s="2"/>
      <c r="U25" s="2"/>
      <c r="V25" s="2"/>
      <c r="W25" s="2"/>
      <c r="X25" s="2"/>
      <c r="Y25" s="2"/>
      <c r="Z25" s="2"/>
      <c r="AA25" s="2"/>
    </row>
    <row r="26" spans="1:27" ht="15.75" customHeight="1">
      <c r="A26" s="1"/>
      <c r="B26" s="2"/>
      <c r="C26" s="27" t="s">
        <v>34</v>
      </c>
      <c r="D26" s="2"/>
      <c r="E26" s="28">
        <f>(D24+E24)/(H24+F24)</f>
        <v>1</v>
      </c>
      <c r="F26" s="2"/>
      <c r="G26" s="2"/>
      <c r="H26" s="29"/>
      <c r="I26" s="2"/>
      <c r="J26" s="2"/>
      <c r="K26" s="26"/>
      <c r="L26" s="79"/>
      <c r="M26" s="75"/>
      <c r="N26" s="72"/>
      <c r="O26" s="80"/>
      <c r="P26" s="72"/>
      <c r="Q26" s="2"/>
      <c r="R26" s="2"/>
      <c r="S26" s="2"/>
      <c r="T26" s="2"/>
      <c r="U26" s="2"/>
      <c r="V26" s="2"/>
      <c r="W26" s="2"/>
      <c r="X26" s="2"/>
      <c r="Y26" s="2"/>
      <c r="Z26" s="2"/>
      <c r="AA26" s="2"/>
    </row>
    <row r="27" spans="1:27" ht="15.75" customHeight="1">
      <c r="A27" s="1"/>
      <c r="B27" s="2"/>
      <c r="C27" s="27" t="s">
        <v>35</v>
      </c>
      <c r="D27" s="2"/>
      <c r="E27" s="28">
        <f>D24/(H24+F24)</f>
        <v>0.94</v>
      </c>
      <c r="F27" s="2"/>
      <c r="G27" s="2"/>
      <c r="H27" s="29"/>
      <c r="I27" s="2"/>
      <c r="J27" s="2"/>
      <c r="K27" s="2"/>
      <c r="L27" s="2"/>
      <c r="M27" s="2"/>
      <c r="N27" s="2"/>
      <c r="O27" s="2"/>
      <c r="P27" s="2"/>
      <c r="Q27" s="2"/>
      <c r="R27" s="2"/>
      <c r="S27" s="2"/>
      <c r="T27" s="2"/>
      <c r="U27" s="2"/>
      <c r="V27" s="2"/>
      <c r="W27" s="2"/>
      <c r="X27" s="2"/>
      <c r="Y27" s="2"/>
      <c r="Z27" s="2"/>
      <c r="AA27" s="2"/>
    </row>
    <row r="28" spans="1:27" ht="15.75" customHeight="1">
      <c r="A28" s="1"/>
      <c r="B28" s="2"/>
      <c r="C28" s="27"/>
      <c r="D28" s="2"/>
      <c r="E28" s="28"/>
      <c r="F28" s="2"/>
      <c r="G28" s="2"/>
      <c r="H28" s="29"/>
      <c r="I28" s="2"/>
      <c r="J28" s="2"/>
      <c r="K28" s="2"/>
      <c r="L28" s="2"/>
      <c r="M28" s="2"/>
      <c r="N28" s="2"/>
      <c r="O28" s="2"/>
      <c r="P28" s="2"/>
      <c r="Q28" s="2"/>
      <c r="R28" s="2"/>
      <c r="S28" s="2"/>
      <c r="T28" s="2"/>
      <c r="U28" s="2"/>
      <c r="V28" s="2"/>
      <c r="W28" s="2"/>
      <c r="X28" s="2"/>
      <c r="Y28" s="2"/>
      <c r="Z28" s="2"/>
      <c r="AA28" s="2"/>
    </row>
    <row r="29" spans="1:27" ht="15.75" customHeight="1">
      <c r="A29" s="1"/>
      <c r="B29" s="2"/>
      <c r="C29" s="27"/>
      <c r="D29" s="2"/>
      <c r="E29" s="28"/>
      <c r="F29" s="2"/>
      <c r="G29" s="2"/>
      <c r="H29" s="29"/>
      <c r="I29" s="2"/>
      <c r="J29" s="2"/>
      <c r="K29" s="2"/>
      <c r="L29" s="2"/>
      <c r="M29" s="2"/>
      <c r="N29" s="2"/>
      <c r="O29" s="2"/>
      <c r="P29" s="2"/>
      <c r="Q29" s="2"/>
      <c r="R29" s="2"/>
      <c r="S29" s="2"/>
      <c r="T29" s="2"/>
      <c r="U29" s="2"/>
      <c r="V29" s="2"/>
      <c r="W29" s="2"/>
      <c r="X29" s="2"/>
      <c r="Y29" s="2"/>
      <c r="Z29" s="2"/>
      <c r="AA29" s="2"/>
    </row>
    <row r="30" spans="1:27" ht="15.75" customHeight="1">
      <c r="A30" s="1"/>
      <c r="B30" s="2"/>
      <c r="C30" s="27"/>
      <c r="D30" s="2"/>
      <c r="E30" s="28"/>
      <c r="F30" s="2"/>
      <c r="G30" s="2"/>
      <c r="H30" s="29"/>
      <c r="I30" s="2"/>
      <c r="J30" s="2"/>
      <c r="K30" s="2"/>
      <c r="L30" s="2"/>
      <c r="M30" s="2"/>
      <c r="N30" s="2"/>
      <c r="O30" s="2"/>
      <c r="P30" s="2"/>
      <c r="Q30" s="2"/>
      <c r="R30" s="2"/>
      <c r="S30" s="2"/>
      <c r="T30" s="2"/>
      <c r="U30" s="2"/>
      <c r="V30" s="2"/>
      <c r="W30" s="2"/>
      <c r="X30" s="2"/>
      <c r="Y30" s="2"/>
      <c r="Z30" s="2"/>
      <c r="AA30" s="2"/>
    </row>
    <row r="31" spans="1:27" ht="15.75" customHeight="1">
      <c r="A31" s="1"/>
      <c r="B31" s="2"/>
      <c r="C31" s="27"/>
      <c r="D31" s="2"/>
      <c r="E31" s="28"/>
      <c r="F31" s="2"/>
      <c r="G31" s="2"/>
      <c r="H31" s="29"/>
      <c r="I31" s="2"/>
      <c r="J31" s="2"/>
      <c r="K31" s="2"/>
      <c r="L31" s="2"/>
      <c r="M31" s="2"/>
      <c r="N31" s="2"/>
      <c r="O31" s="2"/>
      <c r="P31" s="2"/>
      <c r="Q31" s="2"/>
      <c r="R31" s="2"/>
      <c r="S31" s="2"/>
      <c r="T31" s="2"/>
      <c r="U31" s="2"/>
      <c r="V31" s="2"/>
      <c r="W31" s="2"/>
      <c r="X31" s="2"/>
      <c r="Y31" s="2"/>
      <c r="Z31" s="2"/>
      <c r="AA31" s="2"/>
    </row>
    <row r="32" spans="1:27" ht="15.75" customHeight="1">
      <c r="A32" s="1"/>
      <c r="B32" s="2"/>
      <c r="C32" s="27"/>
      <c r="D32" s="2"/>
      <c r="E32" s="28"/>
      <c r="F32" s="2"/>
      <c r="G32" s="2"/>
      <c r="H32" s="29"/>
      <c r="I32" s="2"/>
      <c r="J32" s="2"/>
      <c r="K32" s="2"/>
      <c r="L32" s="2"/>
      <c r="M32" s="2"/>
      <c r="N32" s="2"/>
      <c r="O32" s="2"/>
      <c r="P32" s="2"/>
      <c r="Q32" s="2"/>
      <c r="R32" s="2"/>
      <c r="S32" s="2"/>
      <c r="T32" s="2"/>
      <c r="U32" s="2"/>
      <c r="V32" s="2"/>
      <c r="W32" s="2"/>
      <c r="X32" s="2"/>
      <c r="Y32" s="2"/>
      <c r="Z32" s="2"/>
      <c r="AA32" s="2"/>
    </row>
    <row r="33" spans="1:27" ht="15.75" customHeight="1">
      <c r="A33" s="1"/>
      <c r="B33" s="2"/>
      <c r="C33" s="27"/>
      <c r="D33" s="2"/>
      <c r="E33" s="28"/>
      <c r="F33" s="2"/>
      <c r="G33" s="2"/>
      <c r="H33" s="29"/>
      <c r="I33" s="2"/>
      <c r="J33" s="2"/>
      <c r="K33" s="2"/>
      <c r="L33" s="2"/>
      <c r="M33" s="2"/>
      <c r="N33" s="2"/>
      <c r="O33" s="2"/>
      <c r="P33" s="2"/>
      <c r="Q33" s="2"/>
      <c r="R33" s="2"/>
      <c r="S33" s="2"/>
      <c r="T33" s="2"/>
      <c r="U33" s="2"/>
      <c r="V33" s="2"/>
      <c r="W33" s="2"/>
      <c r="X33" s="2"/>
      <c r="Y33" s="2"/>
      <c r="Z33" s="2"/>
      <c r="AA33" s="2"/>
    </row>
    <row r="34" spans="1:27" ht="15.75" customHeight="1">
      <c r="A34" s="1"/>
      <c r="B34" s="2"/>
      <c r="C34" s="27"/>
      <c r="D34" s="2"/>
      <c r="E34" s="28"/>
      <c r="F34" s="2"/>
      <c r="G34" s="2"/>
      <c r="H34" s="29"/>
      <c r="I34" s="2"/>
      <c r="J34" s="2"/>
      <c r="K34" s="2"/>
      <c r="L34" s="2"/>
      <c r="M34" s="2"/>
      <c r="N34" s="2"/>
      <c r="O34" s="2"/>
      <c r="P34" s="2"/>
      <c r="Q34" s="2"/>
      <c r="R34" s="2"/>
      <c r="S34" s="2"/>
      <c r="T34" s="2"/>
      <c r="U34" s="2"/>
      <c r="V34" s="2"/>
      <c r="W34" s="2"/>
      <c r="X34" s="2"/>
      <c r="Y34" s="2"/>
      <c r="Z34" s="2"/>
      <c r="AA34" s="2"/>
    </row>
    <row r="35" spans="1:27" ht="15.75" customHeight="1">
      <c r="A35" s="1"/>
      <c r="B35" s="2"/>
      <c r="C35" s="27"/>
      <c r="D35" s="2"/>
      <c r="E35" s="28"/>
      <c r="F35" s="2"/>
      <c r="G35" s="2"/>
      <c r="H35" s="29"/>
      <c r="I35" s="2"/>
      <c r="J35" s="2"/>
      <c r="K35" s="2"/>
      <c r="L35" s="2"/>
      <c r="M35" s="2"/>
      <c r="N35" s="2"/>
      <c r="O35" s="2"/>
      <c r="P35" s="2"/>
      <c r="Q35" s="2"/>
      <c r="R35" s="2"/>
      <c r="S35" s="2"/>
      <c r="T35" s="2"/>
      <c r="U35" s="2"/>
      <c r="V35" s="2"/>
      <c r="W35" s="2"/>
      <c r="X35" s="2"/>
      <c r="Y35" s="2"/>
      <c r="Z35" s="2"/>
      <c r="AA35" s="2"/>
    </row>
    <row r="36" spans="1:27" ht="15.75" customHeight="1">
      <c r="A36" s="1"/>
      <c r="B36" s="2"/>
      <c r="C36" s="27"/>
      <c r="D36" s="2"/>
      <c r="E36" s="28"/>
      <c r="F36" s="2"/>
      <c r="G36" s="2"/>
      <c r="H36" s="29"/>
      <c r="I36" s="2"/>
      <c r="J36" s="2"/>
      <c r="K36" s="2"/>
      <c r="L36" s="2"/>
      <c r="M36" s="2"/>
      <c r="N36" s="2"/>
      <c r="O36" s="2"/>
      <c r="P36" s="2"/>
      <c r="Q36" s="2"/>
      <c r="R36" s="2"/>
      <c r="S36" s="2"/>
      <c r="T36" s="2"/>
      <c r="U36" s="2"/>
      <c r="V36" s="2"/>
      <c r="W36" s="2"/>
      <c r="X36" s="2"/>
      <c r="Y36" s="2"/>
      <c r="Z36" s="2"/>
      <c r="AA36" s="2"/>
    </row>
    <row r="37" spans="1:27" ht="15.75" customHeight="1">
      <c r="A37" s="1"/>
      <c r="B37" s="2"/>
      <c r="C37" s="27"/>
      <c r="D37" s="2"/>
      <c r="E37" s="28"/>
      <c r="F37" s="2"/>
      <c r="G37" s="2"/>
      <c r="H37" s="29"/>
      <c r="I37" s="2"/>
      <c r="J37" s="2"/>
      <c r="K37" s="2"/>
      <c r="L37" s="2"/>
      <c r="M37" s="2"/>
      <c r="N37" s="2"/>
      <c r="O37" s="2"/>
      <c r="P37" s="2"/>
      <c r="Q37" s="2"/>
      <c r="R37" s="2"/>
      <c r="S37" s="2"/>
      <c r="T37" s="2"/>
      <c r="U37" s="2"/>
      <c r="V37" s="2"/>
      <c r="W37" s="2"/>
      <c r="X37" s="2"/>
      <c r="Y37" s="2"/>
      <c r="Z37" s="2"/>
      <c r="AA37" s="2"/>
    </row>
    <row r="38" spans="1:27" ht="15.75" customHeight="1">
      <c r="A38" s="1"/>
      <c r="B38" s="2"/>
      <c r="C38" s="27"/>
      <c r="D38" s="2"/>
      <c r="E38" s="28"/>
      <c r="F38" s="2"/>
      <c r="G38" s="2"/>
      <c r="H38" s="29"/>
      <c r="I38" s="2"/>
      <c r="J38" s="2"/>
      <c r="K38" s="2"/>
      <c r="L38" s="2"/>
      <c r="M38" s="2"/>
      <c r="N38" s="2"/>
      <c r="O38" s="2"/>
      <c r="P38" s="2"/>
      <c r="Q38" s="2"/>
      <c r="R38" s="2"/>
      <c r="S38" s="2"/>
      <c r="T38" s="2"/>
      <c r="U38" s="2"/>
      <c r="V38" s="2"/>
      <c r="W38" s="2"/>
      <c r="X38" s="2"/>
      <c r="Y38" s="2"/>
      <c r="Z38" s="2"/>
      <c r="AA38" s="2"/>
    </row>
    <row r="39" spans="1:27" ht="15.75" customHeight="1">
      <c r="A39" s="1"/>
      <c r="B39" s="2"/>
      <c r="C39" s="27"/>
      <c r="D39" s="2"/>
      <c r="E39" s="28"/>
      <c r="F39" s="2"/>
      <c r="G39" s="2"/>
      <c r="H39" s="29"/>
      <c r="I39" s="2"/>
      <c r="J39" s="2"/>
      <c r="K39" s="2"/>
      <c r="L39" s="2"/>
      <c r="M39" s="2"/>
      <c r="N39" s="2"/>
      <c r="O39" s="2"/>
      <c r="P39" s="2"/>
      <c r="Q39" s="2"/>
      <c r="R39" s="2"/>
      <c r="S39" s="2"/>
      <c r="T39" s="2"/>
      <c r="U39" s="2"/>
      <c r="V39" s="2"/>
      <c r="W39" s="2"/>
      <c r="X39" s="2"/>
      <c r="Y39" s="2"/>
      <c r="Z39" s="2"/>
      <c r="AA39" s="2"/>
    </row>
    <row r="40" spans="1:27" ht="15.75" customHeight="1">
      <c r="A40" s="1"/>
      <c r="B40" s="2"/>
      <c r="C40" s="27"/>
      <c r="D40" s="2"/>
      <c r="E40" s="28"/>
      <c r="F40" s="2"/>
      <c r="G40" s="2"/>
      <c r="H40" s="29"/>
      <c r="I40" s="2"/>
      <c r="J40" s="2"/>
      <c r="K40" s="2"/>
      <c r="L40" s="2"/>
      <c r="M40" s="2"/>
      <c r="N40" s="2"/>
      <c r="O40" s="2"/>
      <c r="P40" s="2"/>
      <c r="Q40" s="2"/>
      <c r="R40" s="2"/>
      <c r="S40" s="2"/>
      <c r="T40" s="2"/>
      <c r="U40" s="2"/>
      <c r="V40" s="2"/>
      <c r="W40" s="2"/>
      <c r="X40" s="2"/>
      <c r="Y40" s="2"/>
      <c r="Z40" s="2"/>
      <c r="AA40" s="2"/>
    </row>
    <row r="41" spans="1:27" ht="15.75" customHeight="1">
      <c r="A41" s="1"/>
      <c r="B41" s="2"/>
      <c r="C41" s="27"/>
      <c r="D41" s="2"/>
      <c r="E41" s="28"/>
      <c r="F41" s="2"/>
      <c r="G41" s="2"/>
      <c r="H41" s="29"/>
      <c r="I41" s="2"/>
      <c r="J41" s="2"/>
      <c r="K41" s="2"/>
      <c r="L41" s="2"/>
      <c r="M41" s="2"/>
      <c r="N41" s="2"/>
      <c r="O41" s="2"/>
      <c r="P41" s="2"/>
      <c r="Q41" s="2"/>
      <c r="R41" s="2"/>
      <c r="S41" s="2"/>
      <c r="T41" s="2"/>
      <c r="U41" s="2"/>
      <c r="V41" s="2"/>
      <c r="W41" s="2"/>
      <c r="X41" s="2"/>
      <c r="Y41" s="2"/>
      <c r="Z41" s="2"/>
      <c r="AA41" s="2"/>
    </row>
    <row r="42" spans="1:27" ht="15.75" customHeight="1">
      <c r="A42" s="1"/>
      <c r="B42" s="2"/>
      <c r="C42" s="27"/>
      <c r="D42" s="2"/>
      <c r="E42" s="28"/>
      <c r="F42" s="2"/>
      <c r="G42" s="2"/>
      <c r="H42" s="29"/>
      <c r="I42" s="2"/>
      <c r="J42" s="2"/>
      <c r="K42" s="2"/>
      <c r="L42" s="2"/>
      <c r="M42" s="2"/>
      <c r="N42" s="2"/>
      <c r="O42" s="2"/>
      <c r="P42" s="2"/>
      <c r="Q42" s="2"/>
      <c r="R42" s="2"/>
      <c r="S42" s="2"/>
      <c r="T42" s="2"/>
      <c r="U42" s="2"/>
      <c r="V42" s="2"/>
      <c r="W42" s="2"/>
      <c r="X42" s="2"/>
      <c r="Y42" s="2"/>
      <c r="Z42" s="2"/>
      <c r="AA42" s="2"/>
    </row>
    <row r="43" spans="1:27" ht="15.75" customHeight="1">
      <c r="A43" s="1"/>
      <c r="B43" s="2"/>
      <c r="C43" s="27"/>
      <c r="D43" s="2"/>
      <c r="E43" s="28"/>
      <c r="F43" s="2"/>
      <c r="G43" s="2"/>
      <c r="H43" s="29"/>
      <c r="I43" s="2"/>
      <c r="J43" s="2"/>
      <c r="K43" s="2"/>
      <c r="L43" s="2"/>
      <c r="M43" s="2"/>
      <c r="N43" s="2"/>
      <c r="O43" s="2"/>
      <c r="P43" s="2"/>
      <c r="Q43" s="2"/>
      <c r="R43" s="2"/>
      <c r="S43" s="2"/>
      <c r="T43" s="2"/>
      <c r="U43" s="2"/>
      <c r="V43" s="2"/>
      <c r="W43" s="2"/>
      <c r="X43" s="2"/>
      <c r="Y43" s="2"/>
      <c r="Z43" s="2"/>
      <c r="AA43" s="2"/>
    </row>
    <row r="44" spans="1:27" ht="15.75" customHeight="1">
      <c r="A44" s="1"/>
      <c r="B44" s="2"/>
      <c r="C44" s="3"/>
      <c r="D44" s="2"/>
      <c r="E44" s="2"/>
      <c r="F44" s="2"/>
      <c r="G44" s="2"/>
      <c r="H44" s="2"/>
      <c r="I44" s="2"/>
      <c r="J44" s="2"/>
      <c r="K44" s="2"/>
      <c r="L44" s="2"/>
      <c r="M44" s="2"/>
      <c r="N44" s="2"/>
      <c r="O44" s="2"/>
      <c r="P44" s="2"/>
      <c r="Q44" s="2"/>
      <c r="R44" s="2"/>
      <c r="S44" s="2"/>
      <c r="T44" s="2"/>
      <c r="U44" s="2"/>
      <c r="V44" s="2"/>
      <c r="W44" s="2"/>
      <c r="X44" s="2"/>
      <c r="Y44" s="2"/>
      <c r="Z44" s="2"/>
      <c r="AA44" s="2"/>
    </row>
    <row r="45" spans="1:27" ht="21.75" customHeight="1">
      <c r="A45" s="30" t="s">
        <v>36</v>
      </c>
      <c r="B45" s="7" t="s">
        <v>37</v>
      </c>
      <c r="C45" s="8"/>
      <c r="D45" s="2"/>
      <c r="E45" s="2"/>
      <c r="F45" s="2"/>
      <c r="G45" s="2"/>
      <c r="H45" s="2"/>
      <c r="I45" s="2"/>
      <c r="J45" s="2"/>
      <c r="K45" s="2"/>
      <c r="L45" s="2"/>
      <c r="M45" s="2"/>
      <c r="N45" s="2"/>
      <c r="O45" s="2"/>
      <c r="P45" s="2"/>
      <c r="Q45" s="2"/>
      <c r="R45" s="2"/>
      <c r="S45" s="2"/>
      <c r="T45" s="2"/>
      <c r="U45" s="2"/>
      <c r="V45" s="2"/>
      <c r="W45" s="2"/>
      <c r="X45" s="2"/>
      <c r="Y45" s="2"/>
      <c r="Z45" s="2"/>
      <c r="AA45" s="2"/>
    </row>
    <row r="46" spans="1:27" ht="15.75" customHeight="1">
      <c r="A46" s="1"/>
      <c r="B46" s="7" t="s">
        <v>38</v>
      </c>
      <c r="C46" s="3"/>
      <c r="D46" s="2"/>
      <c r="E46" s="2"/>
      <c r="F46" s="2"/>
      <c r="G46" s="2"/>
      <c r="H46" s="2"/>
      <c r="I46" s="2"/>
      <c r="J46" s="2"/>
      <c r="K46" s="26"/>
      <c r="L46" s="31"/>
      <c r="M46" s="31"/>
      <c r="N46" s="31"/>
      <c r="O46" s="2"/>
      <c r="P46" s="2"/>
      <c r="Q46" s="2"/>
      <c r="R46" s="2"/>
      <c r="S46" s="2"/>
      <c r="T46" s="2"/>
      <c r="U46" s="2"/>
      <c r="V46" s="2"/>
      <c r="W46" s="2"/>
      <c r="X46" s="2"/>
      <c r="Y46" s="2"/>
      <c r="Z46" s="2"/>
      <c r="AA46" s="2"/>
    </row>
    <row r="47" spans="1:27" ht="15.75" customHeight="1">
      <c r="A47" s="1"/>
      <c r="B47" s="31"/>
      <c r="C47" s="31"/>
      <c r="D47" s="31"/>
      <c r="E47" s="2"/>
      <c r="F47" s="2"/>
      <c r="G47" s="2"/>
      <c r="H47" s="2"/>
      <c r="I47" s="2"/>
      <c r="J47" s="2"/>
      <c r="K47" s="2"/>
      <c r="L47" s="2"/>
      <c r="M47" s="2"/>
      <c r="N47" s="2"/>
      <c r="O47" s="2"/>
      <c r="P47" s="2"/>
      <c r="Q47" s="2"/>
      <c r="R47" s="2"/>
      <c r="S47" s="2"/>
      <c r="T47" s="2"/>
      <c r="U47" s="2"/>
      <c r="V47" s="2"/>
      <c r="W47" s="2"/>
      <c r="X47" s="2"/>
      <c r="Y47" s="2"/>
      <c r="Z47" s="2"/>
      <c r="AA47" s="2"/>
    </row>
    <row r="48" spans="1:27" ht="25.5" customHeight="1">
      <c r="A48" s="1"/>
      <c r="B48" s="32" t="s">
        <v>39</v>
      </c>
      <c r="C48" s="32" t="s">
        <v>9</v>
      </c>
      <c r="D48" s="32" t="s">
        <v>40</v>
      </c>
      <c r="E48" s="32" t="s">
        <v>41</v>
      </c>
      <c r="F48" s="32" t="s">
        <v>42</v>
      </c>
      <c r="G48" s="32" t="s">
        <v>43</v>
      </c>
      <c r="H48" s="32" t="s">
        <v>44</v>
      </c>
      <c r="I48" s="32" t="s">
        <v>45</v>
      </c>
      <c r="J48" s="32" t="s">
        <v>46</v>
      </c>
      <c r="K48" s="32" t="s">
        <v>47</v>
      </c>
      <c r="L48" s="32" t="s">
        <v>48</v>
      </c>
      <c r="M48" s="2"/>
      <c r="N48" s="2"/>
      <c r="O48" s="2"/>
      <c r="P48" s="2"/>
      <c r="Q48" s="2"/>
      <c r="R48" s="2"/>
      <c r="S48" s="2"/>
      <c r="T48" s="2"/>
      <c r="U48" s="2"/>
      <c r="V48" s="2"/>
      <c r="W48" s="2"/>
      <c r="X48" s="2"/>
      <c r="Y48" s="2"/>
      <c r="Z48" s="2"/>
      <c r="AA48" s="2"/>
    </row>
    <row r="49" spans="1:27" ht="15.75" customHeight="1">
      <c r="A49" s="2"/>
      <c r="B49" s="33" t="s">
        <v>49</v>
      </c>
      <c r="C49" s="33">
        <v>6</v>
      </c>
      <c r="D49" s="33">
        <v>0</v>
      </c>
      <c r="E49" s="33">
        <v>0</v>
      </c>
      <c r="F49" s="33">
        <v>0</v>
      </c>
      <c r="G49" s="33">
        <v>0</v>
      </c>
      <c r="H49" s="33">
        <v>0</v>
      </c>
      <c r="I49" s="33">
        <v>0</v>
      </c>
      <c r="J49" s="33">
        <v>0</v>
      </c>
      <c r="K49" s="33">
        <f>SUM(C49:J49)</f>
        <v>6</v>
      </c>
      <c r="L49" s="33">
        <f>SUM(C49:H49)</f>
        <v>6</v>
      </c>
      <c r="M49" s="2"/>
      <c r="N49" s="2"/>
      <c r="O49" s="2"/>
      <c r="P49" s="2"/>
      <c r="Q49" s="2"/>
      <c r="R49" s="2"/>
      <c r="S49" s="2"/>
      <c r="T49" s="2"/>
      <c r="U49" s="2"/>
      <c r="V49" s="2"/>
      <c r="W49" s="2"/>
      <c r="X49" s="2"/>
      <c r="Y49" s="2"/>
      <c r="Z49" s="2"/>
      <c r="AA49" s="2"/>
    </row>
    <row r="50" spans="1:27" ht="15.75" customHeight="1">
      <c r="A50" s="2"/>
      <c r="B50" s="34"/>
      <c r="C50" s="34"/>
      <c r="D50" s="35"/>
      <c r="E50" s="35"/>
      <c r="F50" s="35"/>
      <c r="G50" s="35"/>
      <c r="H50" s="35"/>
      <c r="I50" s="35"/>
      <c r="J50" s="35"/>
      <c r="K50" s="35"/>
      <c r="L50" s="34"/>
      <c r="M50" s="2"/>
      <c r="N50" s="2"/>
      <c r="O50" s="2"/>
      <c r="P50" s="2"/>
      <c r="Q50" s="2"/>
      <c r="R50" s="2"/>
      <c r="S50" s="2"/>
      <c r="T50" s="2"/>
      <c r="U50" s="2"/>
      <c r="V50" s="2"/>
      <c r="W50" s="2"/>
      <c r="X50" s="2"/>
      <c r="Y50" s="2"/>
      <c r="Z50" s="2"/>
      <c r="AA50" s="2"/>
    </row>
    <row r="51" spans="1:27" ht="15.75" customHeight="1">
      <c r="A51" s="2"/>
      <c r="B51" s="2"/>
      <c r="C51" s="3"/>
      <c r="D51" s="36"/>
      <c r="E51" s="36"/>
      <c r="F51" s="36"/>
      <c r="G51" s="36"/>
      <c r="H51" s="36"/>
      <c r="I51" s="36"/>
      <c r="J51" s="36"/>
      <c r="K51" s="36"/>
      <c r="L51" s="37"/>
      <c r="M51" s="2"/>
      <c r="N51" s="2"/>
      <c r="O51" s="2"/>
      <c r="P51" s="2"/>
      <c r="Q51" s="2"/>
      <c r="R51" s="2"/>
      <c r="S51" s="2"/>
      <c r="T51" s="2"/>
      <c r="U51" s="2"/>
      <c r="V51" s="2"/>
      <c r="W51" s="2"/>
      <c r="X51" s="2"/>
      <c r="Y51" s="2"/>
      <c r="Z51" s="2"/>
      <c r="AA51" s="2"/>
    </row>
    <row r="52" spans="1:27" ht="26.25" customHeight="1">
      <c r="A52" s="2"/>
      <c r="B52" s="2"/>
      <c r="C52" s="3"/>
      <c r="D52" s="36"/>
      <c r="E52" s="36"/>
      <c r="F52" s="36"/>
      <c r="G52" s="36"/>
      <c r="H52" s="36"/>
      <c r="I52" s="38"/>
      <c r="J52" s="38"/>
      <c r="K52" s="38"/>
      <c r="L52" s="37"/>
      <c r="M52" s="2"/>
      <c r="N52" s="2"/>
      <c r="O52" s="2"/>
      <c r="P52" s="2"/>
      <c r="Q52" s="2"/>
      <c r="R52" s="2"/>
      <c r="S52" s="2"/>
      <c r="T52" s="2"/>
      <c r="U52" s="2"/>
      <c r="V52" s="2"/>
      <c r="W52" s="2"/>
      <c r="X52" s="2"/>
      <c r="Y52" s="2"/>
      <c r="Z52" s="2"/>
      <c r="AA52" s="2"/>
    </row>
    <row r="53" spans="1:27" ht="15.75" customHeight="1">
      <c r="A53" s="2"/>
      <c r="B53" s="2"/>
      <c r="C53" s="3"/>
      <c r="D53" s="36"/>
      <c r="E53" s="36"/>
      <c r="F53" s="36"/>
      <c r="G53" s="36"/>
      <c r="H53" s="36"/>
      <c r="I53" s="35"/>
      <c r="J53" s="35"/>
      <c r="K53" s="39"/>
      <c r="L53" s="37"/>
      <c r="M53" s="2"/>
      <c r="N53" s="2"/>
      <c r="O53" s="2"/>
      <c r="P53" s="2"/>
      <c r="Q53" s="2"/>
      <c r="R53" s="2"/>
      <c r="S53" s="2"/>
      <c r="T53" s="2"/>
      <c r="U53" s="2"/>
      <c r="V53" s="2"/>
      <c r="W53" s="2"/>
      <c r="X53" s="2"/>
      <c r="Y53" s="2"/>
      <c r="Z53" s="2"/>
      <c r="AA53" s="2"/>
    </row>
    <row r="54" spans="1:27" ht="15.75" customHeight="1">
      <c r="A54" s="2"/>
      <c r="B54" s="2"/>
      <c r="C54" s="3"/>
      <c r="D54" s="36"/>
      <c r="E54" s="36"/>
      <c r="F54" s="36"/>
      <c r="G54" s="36"/>
      <c r="H54" s="40"/>
      <c r="I54" s="41"/>
      <c r="J54" s="35"/>
      <c r="K54" s="39"/>
      <c r="L54" s="37"/>
      <c r="M54" s="2"/>
      <c r="N54" s="2"/>
      <c r="O54" s="2"/>
      <c r="P54" s="2"/>
      <c r="Q54" s="2"/>
      <c r="R54" s="2"/>
      <c r="S54" s="2"/>
      <c r="T54" s="2"/>
      <c r="U54" s="2"/>
      <c r="V54" s="2"/>
      <c r="W54" s="2"/>
      <c r="X54" s="2"/>
      <c r="Y54" s="2"/>
      <c r="Z54" s="2"/>
      <c r="AA54" s="2"/>
    </row>
    <row r="55" spans="1:27" ht="15.75" customHeight="1">
      <c r="A55" s="2"/>
      <c r="B55" s="2"/>
      <c r="C55" s="3"/>
      <c r="D55" s="36"/>
      <c r="E55" s="36"/>
      <c r="F55" s="36"/>
      <c r="G55" s="42"/>
      <c r="H55" s="43" t="s">
        <v>84</v>
      </c>
      <c r="I55" s="43" t="s">
        <v>83</v>
      </c>
      <c r="J55" s="44"/>
      <c r="K55" s="39"/>
      <c r="L55" s="37"/>
      <c r="M55" s="2"/>
      <c r="N55" s="2"/>
      <c r="O55" s="2"/>
      <c r="P55" s="2"/>
      <c r="Q55" s="2"/>
      <c r="R55" s="2"/>
      <c r="S55" s="2"/>
      <c r="T55" s="2"/>
      <c r="U55" s="2"/>
      <c r="V55" s="2"/>
      <c r="W55" s="2"/>
      <c r="X55" s="2"/>
      <c r="Y55" s="2"/>
      <c r="Z55" s="2"/>
      <c r="AA55" s="2"/>
    </row>
    <row r="56" spans="1:27" ht="15.75" customHeight="1">
      <c r="A56" s="2"/>
      <c r="B56" s="31"/>
      <c r="C56" s="31"/>
      <c r="D56" s="31"/>
      <c r="E56" s="2"/>
      <c r="F56" s="2"/>
      <c r="G56" s="45"/>
      <c r="H56" s="43" t="s">
        <v>50</v>
      </c>
      <c r="I56" s="43">
        <v>3</v>
      </c>
      <c r="J56" s="44"/>
      <c r="K56" s="39"/>
      <c r="L56" s="2"/>
      <c r="M56" s="2"/>
      <c r="N56" s="2"/>
      <c r="O56" s="2"/>
      <c r="P56" s="2"/>
      <c r="Q56" s="2"/>
      <c r="R56" s="2"/>
      <c r="S56" s="2"/>
      <c r="T56" s="2"/>
      <c r="U56" s="2"/>
      <c r="V56" s="2"/>
      <c r="W56" s="2"/>
      <c r="X56" s="2"/>
      <c r="Y56" s="2"/>
      <c r="Z56" s="2"/>
      <c r="AA56" s="2"/>
    </row>
    <row r="57" spans="1:27" ht="15.75" customHeight="1">
      <c r="A57" s="2"/>
      <c r="B57" s="31"/>
      <c r="C57" s="31"/>
      <c r="D57" s="31"/>
      <c r="E57" s="2"/>
      <c r="F57" s="2"/>
      <c r="G57" s="45"/>
      <c r="H57" s="43" t="s">
        <v>51</v>
      </c>
      <c r="I57" s="43">
        <v>3</v>
      </c>
      <c r="J57" s="44"/>
      <c r="K57" s="2"/>
      <c r="L57" s="2"/>
      <c r="M57" s="2"/>
      <c r="N57" s="2"/>
      <c r="O57" s="2"/>
      <c r="P57" s="2"/>
      <c r="Q57" s="2"/>
      <c r="R57" s="2"/>
      <c r="S57" s="2"/>
      <c r="T57" s="2"/>
      <c r="U57" s="2"/>
      <c r="V57" s="2"/>
      <c r="W57" s="2"/>
      <c r="X57" s="2"/>
      <c r="Y57" s="2"/>
      <c r="Z57" s="2"/>
      <c r="AA57" s="2"/>
    </row>
    <row r="58" spans="1:27" ht="15.75" customHeight="1">
      <c r="A58" s="2"/>
      <c r="B58" s="31"/>
      <c r="C58" s="31"/>
      <c r="D58" s="31"/>
      <c r="E58" s="2"/>
      <c r="F58" s="2"/>
      <c r="G58" s="45"/>
      <c r="H58" s="43" t="s">
        <v>52</v>
      </c>
      <c r="I58" s="43">
        <v>0</v>
      </c>
      <c r="J58" s="44" t="s">
        <v>1</v>
      </c>
      <c r="K58" s="2"/>
      <c r="L58" s="2"/>
      <c r="M58" s="2"/>
      <c r="N58" s="2"/>
      <c r="O58" s="2"/>
      <c r="P58" s="2"/>
      <c r="Q58" s="2"/>
      <c r="R58" s="2"/>
      <c r="S58" s="2"/>
      <c r="T58" s="2"/>
      <c r="U58" s="2"/>
      <c r="V58" s="2"/>
      <c r="W58" s="2"/>
      <c r="X58" s="2"/>
      <c r="Y58" s="2"/>
      <c r="Z58" s="2"/>
      <c r="AA58" s="2"/>
    </row>
    <row r="59" spans="1:27" ht="15.75" customHeight="1">
      <c r="A59" s="2"/>
      <c r="B59" s="31"/>
      <c r="C59" s="31"/>
      <c r="D59" s="31"/>
      <c r="E59" s="2"/>
      <c r="F59" s="2"/>
      <c r="G59" s="45"/>
      <c r="H59" s="43" t="s">
        <v>53</v>
      </c>
      <c r="I59" s="43">
        <v>6</v>
      </c>
      <c r="J59" s="44"/>
      <c r="K59" s="2"/>
      <c r="L59" s="2"/>
      <c r="M59" s="2"/>
      <c r="N59" s="2"/>
      <c r="O59" s="2"/>
      <c r="P59" s="2"/>
      <c r="Q59" s="2"/>
      <c r="R59" s="2"/>
      <c r="S59" s="2"/>
      <c r="T59" s="2"/>
      <c r="U59" s="2"/>
      <c r="V59" s="2"/>
      <c r="W59" s="2"/>
      <c r="X59" s="2"/>
      <c r="Y59" s="2"/>
      <c r="Z59" s="2"/>
      <c r="AA59" s="2"/>
    </row>
    <row r="60" spans="1:27" ht="15.75" customHeight="1">
      <c r="A60" s="2"/>
      <c r="B60" s="31"/>
      <c r="C60" s="31"/>
      <c r="D60" s="31"/>
      <c r="E60" s="2"/>
      <c r="F60" s="2"/>
      <c r="G60" s="2"/>
      <c r="H60" s="46"/>
      <c r="I60" s="46"/>
      <c r="J60" s="2"/>
      <c r="K60" s="2"/>
      <c r="L60" s="2"/>
      <c r="M60" s="2"/>
      <c r="N60" s="2"/>
      <c r="O60" s="2"/>
      <c r="P60" s="2"/>
      <c r="Q60" s="2"/>
      <c r="R60" s="2"/>
      <c r="S60" s="2"/>
      <c r="T60" s="2"/>
      <c r="U60" s="2"/>
      <c r="V60" s="2"/>
      <c r="W60" s="2"/>
      <c r="X60" s="2"/>
      <c r="Y60" s="2"/>
      <c r="Z60" s="2"/>
      <c r="AA60" s="2"/>
    </row>
    <row r="61" spans="1:27" ht="15.75" customHeight="1">
      <c r="A61" s="2"/>
      <c r="B61" s="31"/>
      <c r="C61" s="31"/>
      <c r="D61" s="31"/>
      <c r="E61" s="2"/>
      <c r="F61" s="2"/>
      <c r="G61" s="2"/>
      <c r="H61" s="2"/>
      <c r="I61" s="2"/>
      <c r="J61" s="2"/>
      <c r="K61" s="2"/>
      <c r="L61" s="2"/>
      <c r="M61" s="2"/>
      <c r="N61" s="2"/>
      <c r="O61" s="2"/>
      <c r="P61" s="2"/>
      <c r="Q61" s="2"/>
      <c r="R61" s="2"/>
      <c r="S61" s="2"/>
      <c r="T61" s="2"/>
      <c r="U61" s="2"/>
      <c r="V61" s="2"/>
      <c r="W61" s="2"/>
      <c r="X61" s="2"/>
      <c r="Y61" s="2"/>
      <c r="Z61" s="2"/>
      <c r="AA61" s="2"/>
    </row>
    <row r="62" spans="1:27" ht="15.75" customHeight="1">
      <c r="A62" s="2"/>
      <c r="B62" s="31"/>
      <c r="C62" s="31"/>
      <c r="D62" s="31"/>
      <c r="E62" s="2"/>
      <c r="F62" s="2"/>
      <c r="G62" s="2"/>
      <c r="H62" s="2"/>
      <c r="I62" s="2"/>
      <c r="J62" s="2"/>
      <c r="K62" s="2"/>
      <c r="L62" s="2"/>
      <c r="M62" s="2"/>
      <c r="N62" s="2"/>
      <c r="O62" s="2"/>
      <c r="P62" s="2"/>
      <c r="Q62" s="2"/>
      <c r="R62" s="2"/>
      <c r="S62" s="2"/>
      <c r="T62" s="2"/>
      <c r="U62" s="2"/>
      <c r="V62" s="2"/>
      <c r="W62" s="2"/>
      <c r="X62" s="2"/>
      <c r="Y62" s="2"/>
      <c r="Z62" s="2"/>
      <c r="AA62" s="2"/>
    </row>
    <row r="63" spans="1:27" ht="15.75" customHeight="1">
      <c r="A63" s="2"/>
      <c r="B63" s="31"/>
      <c r="C63" s="31"/>
      <c r="D63" s="31"/>
      <c r="E63" s="2"/>
      <c r="F63" s="2"/>
      <c r="G63" s="2"/>
      <c r="H63" s="2"/>
      <c r="I63" s="2"/>
      <c r="J63" s="2"/>
      <c r="K63" s="2"/>
      <c r="L63" s="2"/>
      <c r="M63" s="2"/>
      <c r="N63" s="2"/>
      <c r="O63" s="2"/>
      <c r="P63" s="2"/>
      <c r="Q63" s="2"/>
      <c r="R63" s="2"/>
      <c r="S63" s="2"/>
      <c r="T63" s="2"/>
      <c r="U63" s="2"/>
      <c r="V63" s="2"/>
      <c r="W63" s="2"/>
      <c r="X63" s="2"/>
      <c r="Y63" s="2"/>
      <c r="Z63" s="2"/>
      <c r="AA63" s="2"/>
    </row>
    <row r="64" spans="1:27" ht="15.75" customHeight="1">
      <c r="A64" s="2"/>
      <c r="B64" s="31"/>
      <c r="C64" s="31"/>
      <c r="D64" s="31"/>
      <c r="E64" s="2"/>
      <c r="F64" s="2"/>
      <c r="G64" s="2"/>
      <c r="H64" s="2"/>
      <c r="I64" s="2"/>
      <c r="J64" s="2"/>
      <c r="K64" s="2"/>
      <c r="L64" s="2"/>
      <c r="M64" s="2"/>
      <c r="N64" s="2"/>
      <c r="O64" s="2"/>
      <c r="P64" s="2"/>
      <c r="Q64" s="2"/>
      <c r="R64" s="2"/>
      <c r="S64" s="2"/>
      <c r="T64" s="2"/>
      <c r="U64" s="2"/>
      <c r="V64" s="2"/>
      <c r="W64" s="2"/>
      <c r="X64" s="2"/>
      <c r="Y64" s="2"/>
      <c r="Z64" s="2"/>
      <c r="AA64" s="2"/>
    </row>
    <row r="65" spans="1:27" ht="31.5" customHeight="1">
      <c r="A65" s="2"/>
      <c r="B65" s="47" t="s">
        <v>54</v>
      </c>
      <c r="C65" s="31"/>
      <c r="D65" s="31"/>
      <c r="E65" s="2"/>
      <c r="F65" s="2"/>
      <c r="G65" s="2"/>
      <c r="H65" s="2"/>
      <c r="I65" s="2"/>
      <c r="J65" s="2"/>
      <c r="K65" s="2"/>
      <c r="L65" s="2"/>
      <c r="M65" s="2"/>
      <c r="N65" s="2"/>
      <c r="O65" s="2"/>
      <c r="P65" s="2"/>
      <c r="Q65" s="2"/>
      <c r="R65" s="2"/>
      <c r="S65" s="2"/>
      <c r="T65" s="2"/>
      <c r="U65" s="2"/>
      <c r="V65" s="2"/>
      <c r="W65" s="2"/>
      <c r="X65" s="2"/>
      <c r="Y65" s="2"/>
      <c r="Z65" s="2"/>
      <c r="AA65" s="2"/>
    </row>
    <row r="66" spans="1:27" ht="15.75" customHeight="1">
      <c r="A66" s="2"/>
      <c r="B66" s="31"/>
      <c r="C66" s="31"/>
      <c r="D66" s="31"/>
      <c r="E66" s="2"/>
      <c r="F66" s="2"/>
      <c r="G66" s="2"/>
      <c r="H66" s="2"/>
      <c r="I66" s="2"/>
      <c r="J66" s="2"/>
      <c r="K66" s="2"/>
      <c r="L66" s="2"/>
      <c r="M66" s="2"/>
      <c r="N66" s="2"/>
      <c r="O66" s="2"/>
      <c r="P66" s="2"/>
      <c r="Q66" s="2"/>
      <c r="R66" s="2"/>
      <c r="S66" s="2"/>
      <c r="T66" s="2"/>
      <c r="U66" s="2"/>
      <c r="V66" s="2"/>
      <c r="W66" s="2"/>
      <c r="X66" s="2"/>
      <c r="Y66" s="2"/>
      <c r="Z66" s="2"/>
      <c r="AA66" s="2"/>
    </row>
    <row r="67" spans="1:27" ht="29.25" customHeight="1">
      <c r="A67" s="2"/>
      <c r="B67" s="48" t="s">
        <v>55</v>
      </c>
      <c r="C67" s="49" t="s">
        <v>56</v>
      </c>
      <c r="D67" s="48"/>
      <c r="E67" s="48"/>
      <c r="F67" s="50"/>
      <c r="G67" s="2"/>
      <c r="H67" s="2"/>
      <c r="I67" s="2"/>
      <c r="J67" s="2"/>
      <c r="K67" s="2"/>
      <c r="L67" s="2"/>
      <c r="M67" s="2"/>
      <c r="N67" s="2"/>
      <c r="O67" s="2"/>
      <c r="P67" s="2"/>
      <c r="Q67" s="2"/>
      <c r="R67" s="2"/>
      <c r="S67" s="2"/>
      <c r="T67" s="2"/>
      <c r="U67" s="2"/>
      <c r="V67" s="2"/>
      <c r="W67" s="2"/>
      <c r="X67" s="2"/>
      <c r="Y67" s="2"/>
      <c r="Z67" s="2"/>
      <c r="AA67" s="2"/>
    </row>
    <row r="68" spans="1:27" ht="15.75" customHeight="1">
      <c r="A68" s="2"/>
      <c r="B68" s="51" t="s">
        <v>57</v>
      </c>
      <c r="C68" s="52">
        <v>0</v>
      </c>
      <c r="D68" s="52"/>
      <c r="E68" s="50"/>
      <c r="F68" s="53"/>
      <c r="G68" s="2"/>
      <c r="H68" s="2"/>
      <c r="I68" s="2"/>
      <c r="J68" s="2"/>
      <c r="K68" s="2"/>
      <c r="L68" s="2"/>
      <c r="M68" s="2"/>
      <c r="N68" s="2"/>
      <c r="O68" s="2"/>
      <c r="P68" s="2"/>
      <c r="Q68" s="2"/>
      <c r="R68" s="2"/>
      <c r="S68" s="2"/>
      <c r="T68" s="2"/>
      <c r="U68" s="2"/>
      <c r="V68" s="2"/>
      <c r="W68" s="2"/>
      <c r="X68" s="2"/>
      <c r="Y68" s="2"/>
      <c r="Z68" s="2"/>
      <c r="AA68" s="2"/>
    </row>
    <row r="69" spans="1:27" ht="15.75" customHeight="1">
      <c r="A69" s="2"/>
      <c r="B69" s="51" t="s">
        <v>58</v>
      </c>
      <c r="C69" s="52">
        <v>0</v>
      </c>
      <c r="D69" s="52"/>
      <c r="E69" s="50"/>
      <c r="F69" s="53"/>
      <c r="G69" s="2"/>
      <c r="H69" s="2"/>
      <c r="I69" s="2"/>
      <c r="J69" s="2"/>
      <c r="K69" s="2"/>
      <c r="L69" s="2"/>
      <c r="M69" s="2"/>
      <c r="N69" s="2"/>
      <c r="O69" s="2"/>
      <c r="P69" s="2"/>
      <c r="Q69" s="2"/>
      <c r="R69" s="2"/>
      <c r="S69" s="2"/>
      <c r="T69" s="2"/>
      <c r="U69" s="2"/>
      <c r="V69" s="2"/>
      <c r="W69" s="2"/>
      <c r="X69" s="2"/>
      <c r="Y69" s="2"/>
      <c r="Z69" s="2"/>
      <c r="AA69" s="2"/>
    </row>
    <row r="70" spans="1:27" ht="15.75" customHeight="1">
      <c r="A70" s="2"/>
      <c r="B70" s="51" t="s">
        <v>59</v>
      </c>
      <c r="C70" s="52">
        <v>0</v>
      </c>
      <c r="D70" s="52"/>
      <c r="E70" s="50"/>
      <c r="F70" s="53"/>
      <c r="G70" s="2"/>
      <c r="H70" s="2"/>
      <c r="I70" s="2"/>
      <c r="J70" s="2"/>
      <c r="K70" s="2"/>
      <c r="L70" s="2"/>
      <c r="M70" s="2"/>
      <c r="N70" s="2"/>
      <c r="O70" s="2"/>
      <c r="P70" s="2"/>
      <c r="Q70" s="2"/>
      <c r="R70" s="2"/>
      <c r="S70" s="2"/>
      <c r="T70" s="2"/>
      <c r="U70" s="2"/>
      <c r="V70" s="2"/>
      <c r="W70" s="2"/>
      <c r="X70" s="2"/>
      <c r="Y70" s="2"/>
      <c r="Z70" s="2"/>
      <c r="AA70" s="2"/>
    </row>
    <row r="71" spans="1:27" ht="15.75" customHeight="1">
      <c r="A71" s="2"/>
      <c r="B71" s="51" t="s">
        <v>60</v>
      </c>
      <c r="C71" s="52">
        <v>0</v>
      </c>
      <c r="D71" s="52"/>
      <c r="E71" s="50"/>
      <c r="F71" s="53"/>
      <c r="G71" s="2"/>
      <c r="H71" s="2"/>
      <c r="I71" s="2"/>
      <c r="J71" s="2"/>
      <c r="K71" s="2"/>
      <c r="L71" s="2"/>
      <c r="M71" s="2"/>
      <c r="N71" s="2"/>
      <c r="O71" s="2"/>
      <c r="P71" s="2"/>
      <c r="Q71" s="2"/>
      <c r="R71" s="2"/>
      <c r="S71" s="2"/>
      <c r="T71" s="2"/>
      <c r="U71" s="2"/>
      <c r="V71" s="2"/>
      <c r="W71" s="2"/>
      <c r="X71" s="2"/>
      <c r="Y71" s="2"/>
      <c r="Z71" s="2"/>
      <c r="AA71" s="2"/>
    </row>
    <row r="72" spans="1:27" ht="15.75" customHeight="1">
      <c r="A72" s="2"/>
      <c r="B72" s="51" t="s">
        <v>61</v>
      </c>
      <c r="C72" s="52">
        <v>0</v>
      </c>
      <c r="D72" s="52"/>
      <c r="E72" s="50"/>
      <c r="F72" s="53"/>
      <c r="G72" s="2"/>
      <c r="H72" s="2"/>
      <c r="I72" s="2"/>
      <c r="J72" s="2"/>
      <c r="K72" s="2"/>
      <c r="L72" s="2"/>
      <c r="M72" s="2"/>
      <c r="N72" s="2"/>
      <c r="O72" s="2"/>
      <c r="P72" s="2"/>
      <c r="Q72" s="2"/>
      <c r="R72" s="2"/>
      <c r="S72" s="2"/>
      <c r="T72" s="2"/>
      <c r="U72" s="2"/>
      <c r="V72" s="2"/>
      <c r="W72" s="2"/>
      <c r="X72" s="2"/>
      <c r="Y72" s="2"/>
      <c r="Z72" s="2"/>
      <c r="AA72" s="2"/>
    </row>
    <row r="73" spans="1:27" ht="15.75" customHeight="1">
      <c r="A73" s="2"/>
      <c r="B73" s="51" t="s">
        <v>62</v>
      </c>
      <c r="C73" s="52">
        <v>0</v>
      </c>
      <c r="D73" s="52"/>
      <c r="E73" s="50"/>
      <c r="F73" s="53"/>
      <c r="G73" s="2"/>
      <c r="H73" s="2"/>
      <c r="I73" s="2"/>
      <c r="J73" s="2"/>
      <c r="K73" s="2"/>
      <c r="L73" s="2"/>
      <c r="M73" s="2"/>
      <c r="N73" s="2"/>
      <c r="O73" s="2"/>
      <c r="P73" s="2"/>
      <c r="Q73" s="2"/>
      <c r="R73" s="2"/>
      <c r="S73" s="2"/>
      <c r="T73" s="2"/>
      <c r="U73" s="2"/>
      <c r="V73" s="2"/>
      <c r="W73" s="2"/>
      <c r="X73" s="2"/>
      <c r="Y73" s="2"/>
      <c r="Z73" s="2"/>
      <c r="AA73" s="2"/>
    </row>
    <row r="74" spans="1:27" ht="15.75" customHeight="1">
      <c r="A74" s="2"/>
      <c r="B74" s="51" t="s">
        <v>63</v>
      </c>
      <c r="C74" s="52">
        <v>0</v>
      </c>
      <c r="D74" s="52"/>
      <c r="E74" s="50"/>
      <c r="F74" s="53"/>
      <c r="G74" s="2"/>
      <c r="H74" s="2"/>
      <c r="I74" s="2"/>
      <c r="J74" s="2"/>
      <c r="K74" s="2"/>
      <c r="L74" s="2"/>
      <c r="M74" s="2"/>
      <c r="N74" s="2"/>
      <c r="O74" s="2"/>
      <c r="P74" s="2"/>
      <c r="Q74" s="2"/>
      <c r="R74" s="2"/>
      <c r="S74" s="2"/>
      <c r="T74" s="2"/>
      <c r="U74" s="2"/>
      <c r="V74" s="2"/>
      <c r="W74" s="2"/>
      <c r="X74" s="2"/>
      <c r="Y74" s="2"/>
      <c r="Z74" s="2"/>
      <c r="AA74" s="2"/>
    </row>
    <row r="75" spans="1:27" ht="15.75" customHeight="1">
      <c r="A75" s="2"/>
      <c r="B75" s="51" t="s">
        <v>64</v>
      </c>
      <c r="C75" s="52">
        <v>0</v>
      </c>
      <c r="D75" s="52"/>
      <c r="E75" s="50"/>
      <c r="F75" s="53"/>
      <c r="G75" s="2"/>
      <c r="H75" s="2"/>
      <c r="I75" s="2"/>
      <c r="J75" s="2"/>
      <c r="K75" s="2"/>
      <c r="L75" s="2"/>
      <c r="M75" s="2"/>
      <c r="N75" s="2"/>
      <c r="O75" s="2"/>
      <c r="P75" s="2"/>
      <c r="Q75" s="2"/>
      <c r="R75" s="2"/>
      <c r="S75" s="2"/>
      <c r="T75" s="2"/>
      <c r="U75" s="2"/>
      <c r="V75" s="2"/>
      <c r="W75" s="2"/>
      <c r="X75" s="2"/>
      <c r="Y75" s="2"/>
      <c r="Z75" s="2"/>
      <c r="AA75" s="2"/>
    </row>
    <row r="76" spans="1:27" ht="15.75" customHeight="1">
      <c r="A76" s="2"/>
      <c r="B76" s="54" t="s">
        <v>65</v>
      </c>
      <c r="C76" s="52">
        <v>0</v>
      </c>
      <c r="D76" s="52"/>
      <c r="E76" s="50"/>
      <c r="F76" s="53"/>
      <c r="G76" s="2"/>
      <c r="H76" s="2"/>
      <c r="I76" s="2"/>
      <c r="J76" s="2"/>
      <c r="K76" s="2"/>
      <c r="L76" s="2"/>
      <c r="M76" s="2"/>
      <c r="N76" s="2"/>
      <c r="O76" s="2"/>
      <c r="P76" s="2"/>
      <c r="Q76" s="2"/>
      <c r="R76" s="2"/>
      <c r="S76" s="2"/>
      <c r="T76" s="2"/>
      <c r="U76" s="2"/>
      <c r="V76" s="2"/>
      <c r="W76" s="2"/>
      <c r="X76" s="2"/>
      <c r="Y76" s="2"/>
      <c r="Z76" s="2"/>
      <c r="AA76" s="2"/>
    </row>
    <row r="77" spans="1:27" ht="15.75" customHeight="1">
      <c r="A77" s="2"/>
      <c r="B77" s="31"/>
      <c r="C77" s="31"/>
      <c r="D77" s="31"/>
      <c r="E77" s="2"/>
      <c r="F77" s="2"/>
      <c r="G77" s="2"/>
      <c r="H77" s="2"/>
      <c r="I77" s="2"/>
      <c r="J77" s="2"/>
      <c r="K77" s="2"/>
      <c r="L77" s="2"/>
      <c r="M77" s="2"/>
      <c r="N77" s="2"/>
      <c r="O77" s="2"/>
      <c r="P77" s="2"/>
      <c r="Q77" s="2"/>
      <c r="R77" s="2"/>
      <c r="S77" s="2"/>
      <c r="T77" s="2"/>
      <c r="U77" s="2"/>
      <c r="V77" s="2"/>
      <c r="W77" s="2"/>
      <c r="X77" s="2"/>
      <c r="Y77" s="2"/>
      <c r="Z77" s="2"/>
      <c r="AA77" s="2"/>
    </row>
    <row r="78" spans="1:27" ht="15.75" customHeight="1">
      <c r="A78" s="2"/>
      <c r="B78" s="31"/>
      <c r="C78" s="31"/>
      <c r="D78" s="31"/>
      <c r="E78" s="2"/>
      <c r="F78" s="2"/>
      <c r="G78" s="2"/>
      <c r="H78" s="2"/>
      <c r="I78" s="2"/>
      <c r="J78" s="2"/>
      <c r="K78" s="2"/>
      <c r="L78" s="2"/>
      <c r="M78" s="2"/>
      <c r="N78" s="2"/>
      <c r="O78" s="2"/>
      <c r="P78" s="2"/>
      <c r="Q78" s="2"/>
      <c r="R78" s="2"/>
      <c r="S78" s="2"/>
      <c r="T78" s="2"/>
      <c r="U78" s="2"/>
      <c r="V78" s="2"/>
      <c r="W78" s="2"/>
      <c r="X78" s="2"/>
      <c r="Y78" s="2"/>
      <c r="Z78" s="2"/>
      <c r="AA78" s="2"/>
    </row>
    <row r="79" spans="1:27" ht="15.75" customHeight="1">
      <c r="A79" s="2"/>
      <c r="B79" s="31"/>
      <c r="C79" s="31"/>
      <c r="D79" s="31"/>
      <c r="E79" s="2"/>
      <c r="F79" s="2"/>
      <c r="G79" s="2"/>
      <c r="H79" s="2"/>
      <c r="I79" s="2"/>
      <c r="J79" s="2"/>
      <c r="K79" s="2"/>
      <c r="L79" s="2"/>
      <c r="M79" s="2"/>
      <c r="N79" s="2"/>
      <c r="O79" s="2"/>
      <c r="P79" s="2"/>
      <c r="Q79" s="2"/>
      <c r="R79" s="2"/>
      <c r="S79" s="2"/>
      <c r="T79" s="2"/>
      <c r="U79" s="2"/>
      <c r="V79" s="2"/>
      <c r="W79" s="2"/>
      <c r="X79" s="2"/>
      <c r="Y79" s="2"/>
      <c r="Z79" s="2"/>
      <c r="AA79" s="2"/>
    </row>
    <row r="80" spans="1:27" ht="15.75" customHeight="1">
      <c r="A80" s="2"/>
      <c r="B80" s="31"/>
      <c r="C80" s="31"/>
      <c r="D80" s="31"/>
      <c r="E80" s="2"/>
      <c r="F80" s="2"/>
      <c r="G80" s="2"/>
      <c r="H80" s="2"/>
      <c r="I80" s="2"/>
      <c r="J80" s="2"/>
      <c r="K80" s="2"/>
      <c r="L80" s="2"/>
      <c r="M80" s="2"/>
      <c r="N80" s="2"/>
      <c r="O80" s="2"/>
      <c r="P80" s="2"/>
      <c r="Q80" s="2"/>
      <c r="R80" s="2"/>
      <c r="S80" s="2"/>
      <c r="T80" s="2"/>
      <c r="U80" s="2"/>
      <c r="V80" s="2"/>
      <c r="W80" s="2"/>
      <c r="X80" s="2"/>
      <c r="Y80" s="2"/>
      <c r="Z80" s="2"/>
      <c r="AA80" s="2"/>
    </row>
    <row r="81" spans="1:27" ht="15.75" customHeight="1">
      <c r="A81" s="2"/>
      <c r="B81" s="31"/>
      <c r="C81" s="31"/>
      <c r="D81" s="31"/>
      <c r="E81" s="2"/>
      <c r="F81" s="2"/>
      <c r="G81" s="2"/>
      <c r="H81" s="2"/>
      <c r="I81" s="2"/>
      <c r="J81" s="2"/>
      <c r="K81" s="2"/>
      <c r="L81" s="2"/>
      <c r="M81" s="2"/>
      <c r="N81" s="2"/>
      <c r="O81" s="2"/>
      <c r="P81" s="2"/>
      <c r="Q81" s="2"/>
      <c r="R81" s="2"/>
      <c r="S81" s="2"/>
      <c r="T81" s="2"/>
      <c r="U81" s="2"/>
      <c r="V81" s="2"/>
      <c r="W81" s="2"/>
      <c r="X81" s="2"/>
      <c r="Y81" s="2"/>
      <c r="Z81" s="2"/>
      <c r="AA81" s="2"/>
    </row>
    <row r="82" spans="1:27" ht="15.75" customHeight="1">
      <c r="A82" s="2"/>
      <c r="B82" s="31"/>
      <c r="C82" s="31"/>
      <c r="D82" s="31"/>
      <c r="E82" s="2"/>
      <c r="F82" s="2"/>
      <c r="G82" s="2"/>
      <c r="H82" s="2"/>
      <c r="I82" s="2"/>
      <c r="J82" s="2"/>
      <c r="K82" s="2"/>
      <c r="L82" s="2"/>
      <c r="M82" s="2"/>
      <c r="N82" s="2"/>
      <c r="O82" s="2"/>
      <c r="P82" s="2"/>
      <c r="Q82" s="2"/>
      <c r="R82" s="2"/>
      <c r="S82" s="2"/>
      <c r="T82" s="2"/>
      <c r="U82" s="2"/>
      <c r="V82" s="2"/>
      <c r="W82" s="2"/>
      <c r="X82" s="2"/>
      <c r="Y82" s="2"/>
      <c r="Z82" s="2"/>
      <c r="AA82" s="2"/>
    </row>
    <row r="83" spans="1:27" ht="15.75" customHeight="1">
      <c r="A83" s="2"/>
      <c r="B83" s="31"/>
      <c r="C83" s="31"/>
      <c r="D83" s="31"/>
      <c r="E83" s="2"/>
      <c r="F83" s="2"/>
      <c r="G83" s="2"/>
      <c r="H83" s="2"/>
      <c r="I83" s="2"/>
      <c r="J83" s="2"/>
      <c r="K83" s="2"/>
      <c r="L83" s="2"/>
      <c r="M83" s="2"/>
      <c r="N83" s="2"/>
      <c r="O83" s="2"/>
      <c r="P83" s="2"/>
      <c r="Q83" s="2"/>
      <c r="R83" s="2"/>
      <c r="S83" s="2"/>
      <c r="T83" s="2"/>
      <c r="U83" s="2"/>
      <c r="V83" s="2"/>
      <c r="W83" s="2"/>
      <c r="X83" s="2"/>
      <c r="Y83" s="2"/>
      <c r="Z83" s="2"/>
      <c r="AA83" s="2"/>
    </row>
    <row r="84" spans="1:27" ht="15.75" customHeight="1">
      <c r="A84" s="2"/>
      <c r="B84" s="31"/>
      <c r="C84" s="31"/>
      <c r="D84" s="31"/>
      <c r="E84" s="2"/>
      <c r="F84" s="2"/>
      <c r="G84" s="2"/>
      <c r="H84" s="2"/>
      <c r="I84" s="2"/>
      <c r="J84" s="2"/>
      <c r="K84" s="2"/>
      <c r="L84" s="2"/>
      <c r="M84" s="2"/>
      <c r="N84" s="2"/>
      <c r="O84" s="2"/>
      <c r="P84" s="2"/>
      <c r="Q84" s="2"/>
      <c r="R84" s="2"/>
      <c r="S84" s="2"/>
      <c r="T84" s="2"/>
      <c r="U84" s="2"/>
      <c r="V84" s="2"/>
      <c r="W84" s="2"/>
      <c r="X84" s="2"/>
      <c r="Y84" s="2"/>
      <c r="Z84" s="2"/>
      <c r="AA84" s="2"/>
    </row>
    <row r="85" spans="1:27" ht="15.75" customHeight="1">
      <c r="A85" s="2"/>
      <c r="B85" s="31"/>
      <c r="C85" s="31"/>
      <c r="D85" s="31"/>
      <c r="E85" s="2"/>
      <c r="F85" s="2"/>
      <c r="G85" s="2"/>
      <c r="H85" s="2"/>
      <c r="I85" s="2"/>
      <c r="J85" s="2"/>
      <c r="K85" s="2"/>
      <c r="L85" s="2"/>
      <c r="M85" s="2"/>
      <c r="N85" s="2"/>
      <c r="O85" s="2"/>
      <c r="P85" s="2"/>
      <c r="Q85" s="2"/>
      <c r="R85" s="2"/>
      <c r="S85" s="2"/>
      <c r="T85" s="2"/>
      <c r="U85" s="2"/>
      <c r="V85" s="2"/>
      <c r="W85" s="2"/>
      <c r="X85" s="2"/>
      <c r="Y85" s="2"/>
      <c r="Z85" s="2"/>
      <c r="AA85" s="2"/>
    </row>
    <row r="86" spans="1:27" ht="15.75" customHeight="1">
      <c r="A86" s="2"/>
      <c r="B86" s="31"/>
      <c r="C86" s="31"/>
      <c r="D86" s="31"/>
      <c r="E86" s="2"/>
      <c r="F86" s="2"/>
      <c r="G86" s="2"/>
      <c r="H86" s="2"/>
      <c r="I86" s="2"/>
      <c r="J86" s="2"/>
      <c r="K86" s="2"/>
      <c r="L86" s="2"/>
      <c r="M86" s="2"/>
      <c r="N86" s="2"/>
      <c r="O86" s="2"/>
      <c r="P86" s="2"/>
      <c r="Q86" s="2"/>
      <c r="R86" s="2"/>
      <c r="S86" s="2"/>
      <c r="T86" s="2"/>
      <c r="U86" s="2"/>
      <c r="V86" s="2"/>
      <c r="W86" s="2"/>
      <c r="X86" s="2"/>
      <c r="Y86" s="2"/>
      <c r="Z86" s="2"/>
      <c r="AA86" s="2"/>
    </row>
    <row r="87" spans="1:27" ht="15.75" customHeight="1">
      <c r="A87" s="2"/>
      <c r="B87" s="31"/>
      <c r="C87" s="31"/>
      <c r="D87" s="31"/>
      <c r="E87" s="2"/>
      <c r="F87" s="2"/>
      <c r="G87" s="2"/>
      <c r="H87" s="2"/>
      <c r="I87" s="2"/>
      <c r="J87" s="2"/>
      <c r="K87" s="2"/>
      <c r="L87" s="2"/>
      <c r="M87" s="2"/>
      <c r="N87" s="2"/>
      <c r="O87" s="2"/>
      <c r="P87" s="2"/>
      <c r="Q87" s="2"/>
      <c r="R87" s="2"/>
      <c r="S87" s="2"/>
      <c r="T87" s="2"/>
      <c r="U87" s="2"/>
      <c r="V87" s="2"/>
      <c r="W87" s="2"/>
      <c r="X87" s="2"/>
      <c r="Y87" s="2"/>
      <c r="Z87" s="2"/>
      <c r="AA87" s="2"/>
    </row>
    <row r="88" spans="1:27" ht="15.75" customHeight="1">
      <c r="A88" s="2"/>
      <c r="B88" s="31"/>
      <c r="C88" s="31"/>
      <c r="D88" s="31"/>
      <c r="E88" s="2"/>
      <c r="F88" s="2"/>
      <c r="G88" s="2"/>
      <c r="H88" s="2"/>
      <c r="I88" s="2"/>
      <c r="J88" s="2"/>
      <c r="K88" s="2"/>
      <c r="L88" s="2"/>
      <c r="M88" s="2"/>
      <c r="N88" s="2"/>
      <c r="O88" s="2"/>
      <c r="P88" s="2"/>
      <c r="Q88" s="2"/>
      <c r="R88" s="2"/>
      <c r="S88" s="2"/>
      <c r="T88" s="2"/>
      <c r="U88" s="2"/>
      <c r="V88" s="2"/>
      <c r="W88" s="2"/>
      <c r="X88" s="2"/>
      <c r="Y88" s="2"/>
      <c r="Z88" s="2"/>
      <c r="AA88" s="2"/>
    </row>
    <row r="89" spans="1:27" ht="15.75" customHeight="1">
      <c r="A89" s="2"/>
      <c r="B89" s="31"/>
      <c r="C89" s="31"/>
      <c r="D89" s="31"/>
      <c r="E89" s="2"/>
      <c r="F89" s="2"/>
      <c r="G89" s="2"/>
      <c r="H89" s="2"/>
      <c r="I89" s="2"/>
      <c r="J89" s="2"/>
      <c r="K89" s="2"/>
      <c r="L89" s="2"/>
      <c r="M89" s="2"/>
      <c r="N89" s="2"/>
      <c r="O89" s="2"/>
      <c r="P89" s="2"/>
      <c r="Q89" s="2"/>
      <c r="R89" s="2"/>
      <c r="S89" s="2"/>
      <c r="T89" s="2"/>
      <c r="U89" s="2"/>
      <c r="V89" s="2"/>
      <c r="W89" s="2"/>
      <c r="X89" s="2"/>
      <c r="Y89" s="2"/>
      <c r="Z89" s="2"/>
      <c r="AA89" s="2"/>
    </row>
    <row r="90" spans="1:27" ht="15.75" customHeight="1">
      <c r="A90" s="2"/>
      <c r="B90" s="31"/>
      <c r="C90" s="31"/>
      <c r="D90" s="31"/>
      <c r="E90" s="2"/>
      <c r="F90" s="2"/>
      <c r="G90" s="2"/>
      <c r="H90" s="2"/>
      <c r="I90" s="2"/>
      <c r="J90" s="2"/>
      <c r="K90" s="2"/>
      <c r="L90" s="2"/>
      <c r="M90" s="2"/>
      <c r="N90" s="2"/>
      <c r="O90" s="2"/>
      <c r="P90" s="2"/>
      <c r="Q90" s="2"/>
      <c r="R90" s="2"/>
      <c r="S90" s="2"/>
      <c r="T90" s="2"/>
      <c r="U90" s="2"/>
      <c r="V90" s="2"/>
      <c r="W90" s="2"/>
      <c r="X90" s="2"/>
      <c r="Y90" s="2"/>
      <c r="Z90" s="2"/>
      <c r="AA90" s="2"/>
    </row>
    <row r="91" spans="1:27" ht="15.75" customHeight="1">
      <c r="A91" s="2"/>
      <c r="B91" s="31"/>
      <c r="C91" s="31"/>
      <c r="D91" s="31"/>
      <c r="E91" s="2"/>
      <c r="F91" s="2"/>
      <c r="G91" s="2"/>
      <c r="H91" s="2"/>
      <c r="I91" s="2"/>
      <c r="J91" s="2"/>
      <c r="K91" s="2"/>
      <c r="L91" s="2"/>
      <c r="M91" s="2"/>
      <c r="N91" s="2"/>
      <c r="O91" s="2"/>
      <c r="P91" s="2"/>
      <c r="Q91" s="2"/>
      <c r="R91" s="2"/>
      <c r="S91" s="2"/>
      <c r="T91" s="2"/>
      <c r="U91" s="2"/>
      <c r="V91" s="2"/>
      <c r="W91" s="2"/>
      <c r="X91" s="2"/>
      <c r="Y91" s="2"/>
      <c r="Z91" s="2"/>
      <c r="AA91" s="2"/>
    </row>
    <row r="92" spans="1:27" ht="15.75" customHeight="1">
      <c r="A92" s="2"/>
      <c r="B92" s="31"/>
      <c r="C92" s="31"/>
      <c r="D92" s="31"/>
      <c r="E92" s="2"/>
      <c r="F92" s="2"/>
      <c r="G92" s="2"/>
      <c r="H92" s="2"/>
      <c r="I92" s="2"/>
      <c r="J92" s="2"/>
      <c r="K92" s="2"/>
      <c r="L92" s="2"/>
      <c r="M92" s="2"/>
      <c r="N92" s="2"/>
      <c r="O92" s="2"/>
      <c r="P92" s="2"/>
      <c r="Q92" s="2"/>
      <c r="R92" s="2"/>
      <c r="S92" s="2"/>
      <c r="T92" s="2"/>
      <c r="U92" s="2"/>
      <c r="V92" s="2"/>
      <c r="W92" s="2"/>
      <c r="X92" s="2"/>
      <c r="Y92" s="2"/>
      <c r="Z92" s="2"/>
      <c r="AA92" s="2"/>
    </row>
    <row r="93" spans="1:27" ht="15.75" customHeight="1">
      <c r="A93" s="2"/>
      <c r="B93" s="31"/>
      <c r="C93" s="31"/>
      <c r="D93" s="31"/>
      <c r="E93" s="2"/>
      <c r="F93" s="2"/>
      <c r="G93" s="2"/>
      <c r="H93" s="2"/>
      <c r="I93" s="2"/>
      <c r="J93" s="2"/>
      <c r="K93" s="2"/>
      <c r="L93" s="2"/>
      <c r="M93" s="2"/>
      <c r="N93" s="2"/>
      <c r="O93" s="2"/>
      <c r="P93" s="2"/>
      <c r="Q93" s="2"/>
      <c r="R93" s="2"/>
      <c r="S93" s="2"/>
      <c r="T93" s="2"/>
      <c r="U93" s="2"/>
      <c r="V93" s="2"/>
      <c r="W93" s="2"/>
      <c r="X93" s="2"/>
      <c r="Y93" s="2"/>
      <c r="Z93" s="2"/>
      <c r="AA93" s="2"/>
    </row>
    <row r="94" spans="1:27" ht="15.75" customHeight="1">
      <c r="A94" s="2"/>
      <c r="B94" s="31"/>
      <c r="C94" s="31"/>
      <c r="D94" s="31"/>
      <c r="E94" s="2"/>
      <c r="F94" s="2"/>
      <c r="G94" s="2"/>
      <c r="H94" s="2"/>
      <c r="I94" s="2"/>
      <c r="J94" s="2"/>
      <c r="K94" s="2"/>
      <c r="L94" s="2"/>
      <c r="M94" s="2"/>
      <c r="N94" s="2"/>
      <c r="O94" s="2"/>
      <c r="P94" s="2"/>
      <c r="Q94" s="2"/>
      <c r="R94" s="2"/>
      <c r="S94" s="2"/>
      <c r="T94" s="2"/>
      <c r="U94" s="2"/>
      <c r="V94" s="2"/>
      <c r="W94" s="2"/>
      <c r="X94" s="2"/>
      <c r="Y94" s="2"/>
      <c r="Z94" s="2"/>
      <c r="AA94" s="2"/>
    </row>
    <row r="95" spans="1:27" ht="15.75" customHeight="1">
      <c r="A95" s="2"/>
      <c r="B95" s="31"/>
      <c r="C95" s="31"/>
      <c r="D95" s="31"/>
      <c r="E95" s="2"/>
      <c r="F95" s="2"/>
      <c r="G95" s="2"/>
      <c r="H95" s="2"/>
      <c r="I95" s="2"/>
      <c r="J95" s="2"/>
      <c r="K95" s="2"/>
      <c r="L95" s="2"/>
      <c r="M95" s="2"/>
      <c r="N95" s="2"/>
      <c r="O95" s="2"/>
      <c r="P95" s="2"/>
      <c r="Q95" s="2"/>
      <c r="R95" s="2"/>
      <c r="S95" s="2"/>
      <c r="T95" s="2"/>
      <c r="U95" s="2"/>
      <c r="V95" s="2"/>
      <c r="W95" s="2"/>
      <c r="X95" s="2"/>
      <c r="Y95" s="2"/>
      <c r="Z95" s="2"/>
      <c r="AA95" s="2"/>
    </row>
    <row r="96" spans="1:27" ht="15.75" customHeight="1">
      <c r="A96" s="2"/>
      <c r="B96" s="31"/>
      <c r="C96" s="31"/>
      <c r="D96" s="31"/>
      <c r="E96" s="2"/>
      <c r="F96" s="2"/>
      <c r="G96" s="2"/>
      <c r="H96" s="2"/>
      <c r="I96" s="2"/>
      <c r="J96" s="2"/>
      <c r="K96" s="26"/>
      <c r="L96" s="31"/>
      <c r="M96" s="31"/>
      <c r="N96" s="31"/>
      <c r="O96" s="2"/>
      <c r="P96" s="2"/>
      <c r="Q96" s="2"/>
      <c r="R96" s="2"/>
      <c r="S96" s="2"/>
      <c r="T96" s="2"/>
      <c r="U96" s="2"/>
      <c r="V96" s="2"/>
      <c r="W96" s="2"/>
      <c r="X96" s="2"/>
      <c r="Y96" s="2"/>
      <c r="Z96" s="2"/>
      <c r="AA96" s="2"/>
    </row>
    <row r="97" spans="1:27" ht="15.75" customHeight="1">
      <c r="A97" s="2"/>
      <c r="B97" s="31"/>
      <c r="C97" s="31"/>
      <c r="D97" s="31"/>
      <c r="E97" s="2"/>
      <c r="F97" s="2"/>
      <c r="G97" s="2"/>
      <c r="H97" s="2"/>
      <c r="I97" s="2"/>
      <c r="J97" s="2"/>
      <c r="K97" s="2"/>
      <c r="L97" s="31"/>
      <c r="M97" s="31"/>
      <c r="N97" s="31"/>
      <c r="O97" s="2"/>
      <c r="P97" s="2"/>
      <c r="Q97" s="2"/>
      <c r="R97" s="2"/>
      <c r="S97" s="2"/>
      <c r="T97" s="2"/>
      <c r="U97" s="2"/>
      <c r="V97" s="2"/>
      <c r="W97" s="2"/>
      <c r="X97" s="2"/>
      <c r="Y97" s="2"/>
      <c r="Z97" s="2"/>
      <c r="AA97" s="2"/>
    </row>
    <row r="98" spans="1:27" ht="15.75" customHeight="1">
      <c r="A98" s="2"/>
      <c r="B98" s="31"/>
      <c r="C98" s="31"/>
      <c r="D98" s="31"/>
      <c r="E98" s="2"/>
      <c r="F98" s="2"/>
      <c r="G98" s="2"/>
      <c r="H98" s="2"/>
      <c r="I98" s="2"/>
      <c r="J98" s="2"/>
      <c r="K98" s="2"/>
      <c r="L98" s="31"/>
      <c r="M98" s="31"/>
      <c r="N98" s="31"/>
      <c r="O98" s="2"/>
      <c r="P98" s="2"/>
      <c r="Q98" s="2"/>
      <c r="R98" s="2"/>
      <c r="S98" s="2"/>
      <c r="T98" s="2"/>
      <c r="U98" s="2"/>
      <c r="V98" s="2"/>
      <c r="W98" s="2"/>
      <c r="X98" s="2"/>
      <c r="Y98" s="2"/>
      <c r="Z98" s="2"/>
      <c r="AA98" s="2"/>
    </row>
    <row r="99" spans="1:27" ht="15.75" customHeight="1">
      <c r="A99" s="2"/>
      <c r="B99" s="31"/>
      <c r="C99" s="31"/>
      <c r="D99" s="31"/>
      <c r="E99" s="2"/>
      <c r="F99" s="2"/>
      <c r="G99" s="2"/>
      <c r="H99" s="2"/>
      <c r="I99" s="2"/>
      <c r="J99" s="2"/>
      <c r="K99" s="2"/>
      <c r="L99" s="31"/>
      <c r="M99" s="31"/>
      <c r="N99" s="31"/>
      <c r="O99" s="2"/>
      <c r="P99" s="2"/>
      <c r="Q99" s="2"/>
      <c r="R99" s="2"/>
      <c r="S99" s="2"/>
      <c r="T99" s="2"/>
      <c r="U99" s="2"/>
      <c r="V99" s="2"/>
      <c r="W99" s="2"/>
      <c r="X99" s="2"/>
      <c r="Y99" s="2"/>
      <c r="Z99" s="2"/>
      <c r="AA99" s="2"/>
    </row>
    <row r="100" spans="1:27" ht="15.75" customHeight="1">
      <c r="A100" s="2"/>
      <c r="B100" s="31"/>
      <c r="C100" s="31"/>
      <c r="D100" s="31"/>
      <c r="E100" s="2"/>
      <c r="F100" s="2"/>
      <c r="G100" s="2"/>
      <c r="H100" s="2"/>
      <c r="I100" s="2"/>
      <c r="J100" s="2"/>
      <c r="K100" s="2"/>
      <c r="L100" s="31"/>
      <c r="M100" s="31"/>
      <c r="N100" s="31"/>
      <c r="O100" s="2"/>
      <c r="P100" s="2"/>
      <c r="Q100" s="2"/>
      <c r="R100" s="2"/>
      <c r="S100" s="2"/>
      <c r="T100" s="2"/>
      <c r="U100" s="2"/>
      <c r="V100" s="2"/>
      <c r="W100" s="2"/>
      <c r="X100" s="2"/>
      <c r="Y100" s="2"/>
      <c r="Z100" s="2"/>
      <c r="AA100" s="2"/>
    </row>
    <row r="101" spans="1:27" ht="15.75" customHeight="1">
      <c r="A101" s="2"/>
      <c r="B101" s="2"/>
      <c r="C101" s="8"/>
      <c r="D101" s="2"/>
      <c r="E101" s="2"/>
      <c r="F101" s="2"/>
      <c r="G101" s="2"/>
      <c r="H101" s="2"/>
      <c r="I101" s="2"/>
      <c r="J101" s="2"/>
      <c r="K101" s="2"/>
      <c r="L101" s="31"/>
      <c r="M101" s="31"/>
      <c r="N101" s="31"/>
      <c r="O101" s="2"/>
      <c r="P101" s="2"/>
      <c r="Q101" s="2"/>
      <c r="R101" s="2"/>
      <c r="S101" s="2"/>
      <c r="T101" s="2"/>
      <c r="U101" s="2"/>
      <c r="V101" s="2"/>
      <c r="W101" s="2"/>
      <c r="X101" s="2"/>
      <c r="Y101" s="2"/>
      <c r="Z101" s="2"/>
      <c r="AA101" s="2"/>
    </row>
    <row r="102" spans="1:27" ht="15.75" customHeight="1">
      <c r="A102" s="7" t="s">
        <v>66</v>
      </c>
      <c r="B102" s="7" t="s">
        <v>67</v>
      </c>
      <c r="C102" s="3"/>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5.75" customHeight="1">
      <c r="A103" s="2"/>
      <c r="B103" s="55" t="s">
        <v>24</v>
      </c>
      <c r="C103" s="76" t="s">
        <v>68</v>
      </c>
      <c r="D103" s="65"/>
      <c r="E103" s="76" t="s">
        <v>69</v>
      </c>
      <c r="F103" s="64"/>
      <c r="G103" s="64"/>
      <c r="H103" s="65"/>
      <c r="I103" s="2"/>
      <c r="J103" s="2"/>
      <c r="K103" s="2"/>
      <c r="L103" s="2"/>
      <c r="M103" s="2"/>
      <c r="N103" s="2"/>
      <c r="O103" s="2"/>
      <c r="P103" s="2"/>
      <c r="Q103" s="2"/>
      <c r="R103" s="2"/>
      <c r="S103" s="2"/>
      <c r="T103" s="2"/>
      <c r="U103" s="2"/>
      <c r="V103" s="2"/>
      <c r="W103" s="2"/>
      <c r="X103" s="2"/>
      <c r="Y103" s="2"/>
      <c r="Z103" s="2"/>
      <c r="AA103" s="2"/>
    </row>
    <row r="104" spans="1:27" ht="33" customHeight="1">
      <c r="A104" s="2"/>
      <c r="B104" s="56">
        <v>1</v>
      </c>
      <c r="C104" s="69" t="s">
        <v>70</v>
      </c>
      <c r="D104" s="65"/>
      <c r="E104" s="73"/>
      <c r="F104" s="64"/>
      <c r="G104" s="64"/>
      <c r="H104" s="65"/>
      <c r="I104" s="2"/>
      <c r="J104" s="2"/>
      <c r="K104" s="2"/>
      <c r="L104" s="2"/>
      <c r="M104" s="2"/>
      <c r="N104" s="2"/>
      <c r="O104" s="2"/>
      <c r="P104" s="2"/>
      <c r="Q104" s="2"/>
      <c r="R104" s="2"/>
      <c r="S104" s="2"/>
      <c r="T104" s="2"/>
      <c r="U104" s="2"/>
      <c r="V104" s="2"/>
      <c r="W104" s="2"/>
      <c r="X104" s="2"/>
      <c r="Y104" s="2"/>
      <c r="Z104" s="2"/>
      <c r="AA104" s="2"/>
    </row>
    <row r="105" spans="1:27" ht="33" customHeight="1">
      <c r="A105" s="2"/>
      <c r="B105" s="56">
        <v>2</v>
      </c>
      <c r="C105" s="69"/>
      <c r="D105" s="65"/>
      <c r="E105" s="73"/>
      <c r="F105" s="64"/>
      <c r="G105" s="64"/>
      <c r="H105" s="65"/>
      <c r="I105" s="2"/>
      <c r="J105" s="2"/>
      <c r="K105" s="2"/>
      <c r="L105" s="2"/>
      <c r="M105" s="2"/>
      <c r="N105" s="2"/>
      <c r="O105" s="2"/>
      <c r="P105" s="2"/>
      <c r="Q105" s="2"/>
      <c r="R105" s="2"/>
      <c r="S105" s="2"/>
      <c r="T105" s="2"/>
      <c r="U105" s="2"/>
      <c r="V105" s="2"/>
      <c r="W105" s="2"/>
      <c r="X105" s="2"/>
      <c r="Y105" s="2"/>
      <c r="Z105" s="2"/>
      <c r="AA105" s="2"/>
    </row>
    <row r="106" spans="1:27" ht="33" customHeight="1">
      <c r="A106" s="2"/>
      <c r="B106" s="56">
        <v>3</v>
      </c>
      <c r="C106" s="69"/>
      <c r="D106" s="65"/>
      <c r="E106" s="73"/>
      <c r="F106" s="64"/>
      <c r="G106" s="64"/>
      <c r="H106" s="65"/>
      <c r="I106" s="2"/>
      <c r="J106" s="2"/>
      <c r="K106" s="2"/>
      <c r="L106" s="2"/>
      <c r="M106" s="2"/>
      <c r="N106" s="2"/>
      <c r="O106" s="2"/>
      <c r="P106" s="2"/>
      <c r="Q106" s="2"/>
      <c r="R106" s="2"/>
      <c r="S106" s="2"/>
      <c r="T106" s="2"/>
      <c r="U106" s="2"/>
      <c r="V106" s="2"/>
      <c r="W106" s="2"/>
      <c r="X106" s="2"/>
      <c r="Y106" s="2"/>
      <c r="Z106" s="2"/>
      <c r="AA106" s="2"/>
    </row>
    <row r="107" spans="1:27" ht="15.75" customHeight="1">
      <c r="A107" s="57"/>
      <c r="B107" s="2"/>
      <c r="C107" s="8"/>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20.25" customHeight="1">
      <c r="A108" s="6" t="s">
        <v>71</v>
      </c>
      <c r="B108" s="7" t="s">
        <v>72</v>
      </c>
      <c r="C108" s="58"/>
      <c r="D108" s="58"/>
      <c r="E108" s="74"/>
      <c r="F108" s="75"/>
      <c r="G108" s="75"/>
      <c r="H108" s="72"/>
      <c r="I108" s="2"/>
      <c r="J108" s="2"/>
      <c r="K108" s="2"/>
      <c r="L108" s="2"/>
      <c r="M108" s="2"/>
      <c r="N108" s="2"/>
      <c r="O108" s="2"/>
      <c r="P108" s="2"/>
      <c r="Q108" s="2"/>
      <c r="R108" s="2"/>
      <c r="S108" s="2"/>
      <c r="T108" s="2"/>
      <c r="U108" s="2"/>
      <c r="V108" s="2"/>
      <c r="W108" s="2"/>
      <c r="X108" s="2"/>
      <c r="Y108" s="2"/>
      <c r="Z108" s="2"/>
      <c r="AA108" s="2"/>
    </row>
    <row r="109" spans="1:27" ht="15.75" customHeight="1">
      <c r="A109" s="1"/>
      <c r="B109" s="55" t="s">
        <v>73</v>
      </c>
      <c r="C109" s="76" t="s">
        <v>74</v>
      </c>
      <c r="D109" s="65"/>
      <c r="E109" s="76" t="s">
        <v>75</v>
      </c>
      <c r="F109" s="64"/>
      <c r="G109" s="64"/>
      <c r="H109" s="65"/>
      <c r="I109" s="71" t="s">
        <v>39</v>
      </c>
      <c r="J109" s="72"/>
      <c r="K109" s="2"/>
      <c r="L109" s="2"/>
      <c r="M109" s="2"/>
      <c r="N109" s="2"/>
      <c r="O109" s="2"/>
      <c r="P109" s="2"/>
      <c r="Q109" s="2"/>
      <c r="R109" s="2"/>
      <c r="S109" s="2"/>
      <c r="T109" s="2"/>
      <c r="U109" s="2"/>
      <c r="V109" s="2"/>
      <c r="W109" s="2"/>
      <c r="X109" s="2"/>
      <c r="Y109" s="2"/>
      <c r="Z109" s="2"/>
      <c r="AA109" s="2"/>
    </row>
    <row r="110" spans="1:27" ht="15.75" customHeight="1">
      <c r="A110" s="1"/>
      <c r="B110" s="56">
        <v>1</v>
      </c>
      <c r="C110" s="67"/>
      <c r="D110" s="65"/>
      <c r="E110" s="67"/>
      <c r="F110" s="64"/>
      <c r="G110" s="64"/>
      <c r="H110" s="65"/>
      <c r="I110" s="66"/>
      <c r="J110" s="65"/>
      <c r="K110" s="2"/>
      <c r="L110" s="2"/>
      <c r="M110" s="2"/>
      <c r="N110" s="2"/>
      <c r="O110" s="2"/>
      <c r="P110" s="2"/>
      <c r="Q110" s="2"/>
      <c r="R110" s="2"/>
      <c r="S110" s="2"/>
      <c r="T110" s="2"/>
      <c r="U110" s="2"/>
      <c r="V110" s="2"/>
      <c r="W110" s="2"/>
      <c r="X110" s="2"/>
      <c r="Y110" s="2"/>
      <c r="Z110" s="2"/>
      <c r="AA110" s="2"/>
    </row>
    <row r="111" spans="1:27" ht="15.75" customHeight="1">
      <c r="A111" s="1"/>
      <c r="B111" s="56">
        <v>2</v>
      </c>
      <c r="C111" s="67"/>
      <c r="D111" s="65"/>
      <c r="E111" s="67"/>
      <c r="F111" s="64"/>
      <c r="G111" s="64"/>
      <c r="H111" s="65"/>
      <c r="I111" s="66"/>
      <c r="J111" s="65"/>
      <c r="K111" s="2"/>
      <c r="L111" s="2"/>
      <c r="M111" s="2"/>
      <c r="N111" s="2"/>
      <c r="O111" s="2"/>
      <c r="P111" s="2"/>
      <c r="Q111" s="2"/>
      <c r="R111" s="2"/>
      <c r="S111" s="2"/>
      <c r="T111" s="2"/>
      <c r="U111" s="2"/>
      <c r="V111" s="2"/>
      <c r="W111" s="2"/>
      <c r="X111" s="2"/>
      <c r="Y111" s="2"/>
      <c r="Z111" s="2"/>
      <c r="AA111" s="2"/>
    </row>
    <row r="112" spans="1:27" ht="15.75" customHeight="1">
      <c r="A112" s="1"/>
      <c r="B112" s="56">
        <v>3</v>
      </c>
      <c r="C112" s="67"/>
      <c r="D112" s="65"/>
      <c r="E112" s="67"/>
      <c r="F112" s="64"/>
      <c r="G112" s="64"/>
      <c r="H112" s="65"/>
      <c r="I112" s="66"/>
      <c r="J112" s="65"/>
      <c r="K112" s="2"/>
      <c r="L112" s="2"/>
      <c r="M112" s="2"/>
      <c r="N112" s="2"/>
      <c r="O112" s="2"/>
      <c r="P112" s="2"/>
      <c r="Q112" s="2"/>
      <c r="R112" s="2"/>
      <c r="S112" s="2"/>
      <c r="T112" s="2"/>
      <c r="U112" s="2"/>
      <c r="V112" s="2"/>
      <c r="W112" s="2"/>
      <c r="X112" s="2"/>
      <c r="Y112" s="2"/>
      <c r="Z112" s="2"/>
      <c r="AA112" s="2"/>
    </row>
    <row r="113" spans="1:27" ht="15.75" customHeight="1">
      <c r="A113" s="1"/>
      <c r="B113" s="56">
        <v>4</v>
      </c>
      <c r="C113" s="67"/>
      <c r="D113" s="65"/>
      <c r="E113" s="67"/>
      <c r="F113" s="64"/>
      <c r="G113" s="64"/>
      <c r="H113" s="65"/>
      <c r="I113" s="66"/>
      <c r="J113" s="65"/>
      <c r="K113" s="2"/>
      <c r="L113" s="2"/>
      <c r="M113" s="2"/>
      <c r="N113" s="2"/>
      <c r="O113" s="2"/>
      <c r="P113" s="2"/>
      <c r="Q113" s="2"/>
      <c r="R113" s="2"/>
      <c r="S113" s="2"/>
      <c r="T113" s="2"/>
      <c r="U113" s="2"/>
      <c r="V113" s="2"/>
      <c r="W113" s="2"/>
      <c r="X113" s="2"/>
      <c r="Y113" s="2"/>
      <c r="Z113" s="2"/>
      <c r="AA113" s="2"/>
    </row>
    <row r="114" spans="1:27" ht="15.75" customHeight="1">
      <c r="A114" s="1"/>
      <c r="B114" s="56">
        <v>5</v>
      </c>
      <c r="C114" s="67"/>
      <c r="D114" s="65"/>
      <c r="E114" s="67"/>
      <c r="F114" s="64"/>
      <c r="G114" s="64"/>
      <c r="H114" s="65"/>
      <c r="I114" s="66"/>
      <c r="J114" s="65"/>
      <c r="K114" s="2"/>
      <c r="L114" s="2"/>
      <c r="M114" s="2"/>
      <c r="N114" s="2"/>
      <c r="O114" s="2"/>
      <c r="P114" s="2"/>
      <c r="Q114" s="2"/>
      <c r="R114" s="2"/>
      <c r="S114" s="2"/>
      <c r="T114" s="2"/>
      <c r="U114" s="2"/>
      <c r="V114" s="2"/>
      <c r="W114" s="2"/>
      <c r="X114" s="2"/>
      <c r="Y114" s="2"/>
      <c r="Z114" s="2"/>
      <c r="AA114" s="2"/>
    </row>
    <row r="115" spans="1:27" ht="15.75" customHeight="1">
      <c r="A115" s="1"/>
      <c r="B115" s="56">
        <v>6</v>
      </c>
      <c r="C115" s="67"/>
      <c r="D115" s="65"/>
      <c r="E115" s="68"/>
      <c r="F115" s="64"/>
      <c r="G115" s="64"/>
      <c r="H115" s="65"/>
      <c r="I115" s="66"/>
      <c r="J115" s="65"/>
      <c r="K115" s="2"/>
      <c r="L115" s="2"/>
      <c r="M115" s="2"/>
      <c r="N115" s="2"/>
      <c r="O115" s="2"/>
      <c r="P115" s="2"/>
      <c r="Q115" s="2"/>
      <c r="R115" s="2"/>
      <c r="S115" s="2"/>
      <c r="T115" s="2"/>
      <c r="U115" s="2"/>
      <c r="V115" s="2"/>
      <c r="W115" s="2"/>
      <c r="X115" s="2"/>
      <c r="Y115" s="2"/>
      <c r="Z115" s="2"/>
      <c r="AA115" s="2"/>
    </row>
    <row r="116" spans="1:27" ht="15.75" customHeight="1">
      <c r="A116" s="1"/>
      <c r="B116" s="56">
        <v>7</v>
      </c>
      <c r="C116" s="67"/>
      <c r="D116" s="65"/>
      <c r="E116" s="67"/>
      <c r="F116" s="64"/>
      <c r="G116" s="64"/>
      <c r="H116" s="65"/>
      <c r="I116" s="66"/>
      <c r="J116" s="65"/>
      <c r="K116" s="2"/>
      <c r="L116" s="2"/>
      <c r="M116" s="2"/>
      <c r="N116" s="2"/>
      <c r="O116" s="2"/>
      <c r="P116" s="2"/>
      <c r="Q116" s="2"/>
      <c r="R116" s="2"/>
      <c r="S116" s="2"/>
      <c r="T116" s="2"/>
      <c r="U116" s="2"/>
      <c r="V116" s="2"/>
      <c r="W116" s="2"/>
      <c r="X116" s="2"/>
      <c r="Y116" s="2"/>
      <c r="Z116" s="2"/>
      <c r="AA116" s="2"/>
    </row>
    <row r="117" spans="1:27" ht="15.75" customHeight="1">
      <c r="A117" s="1"/>
      <c r="B117" s="56">
        <v>8</v>
      </c>
      <c r="C117" s="67"/>
      <c r="D117" s="65"/>
      <c r="E117" s="69"/>
      <c r="F117" s="64"/>
      <c r="G117" s="64"/>
      <c r="H117" s="65"/>
      <c r="I117" s="66"/>
      <c r="J117" s="65"/>
      <c r="K117" s="2"/>
      <c r="L117" s="2"/>
      <c r="M117" s="2"/>
      <c r="N117" s="2"/>
      <c r="O117" s="2"/>
      <c r="P117" s="2"/>
      <c r="Q117" s="2"/>
      <c r="R117" s="2"/>
      <c r="S117" s="2"/>
      <c r="T117" s="2"/>
      <c r="U117" s="2"/>
      <c r="V117" s="2"/>
      <c r="W117" s="2"/>
      <c r="X117" s="2"/>
      <c r="Y117" s="2"/>
      <c r="Z117" s="2"/>
      <c r="AA117" s="2"/>
    </row>
    <row r="118" spans="1:27" ht="15.75" customHeight="1">
      <c r="A118" s="1"/>
      <c r="B118" s="56">
        <v>9</v>
      </c>
      <c r="C118" s="88"/>
      <c r="D118" s="65"/>
      <c r="E118" s="70"/>
      <c r="F118" s="64"/>
      <c r="G118" s="64"/>
      <c r="H118" s="65"/>
      <c r="I118" s="66"/>
      <c r="J118" s="65"/>
      <c r="K118" s="2"/>
      <c r="L118" s="2"/>
      <c r="M118" s="2"/>
      <c r="N118" s="2"/>
      <c r="O118" s="2"/>
      <c r="P118" s="2"/>
      <c r="Q118" s="2"/>
      <c r="R118" s="2"/>
      <c r="S118" s="2"/>
      <c r="T118" s="2"/>
      <c r="U118" s="2"/>
      <c r="V118" s="2"/>
      <c r="W118" s="2"/>
      <c r="X118" s="2"/>
      <c r="Y118" s="2"/>
      <c r="Z118" s="2"/>
      <c r="AA118" s="2"/>
    </row>
    <row r="119" spans="1:27" ht="15.75" customHeight="1">
      <c r="A119" s="1"/>
      <c r="B119" s="56">
        <v>10</v>
      </c>
      <c r="C119" s="67"/>
      <c r="D119" s="65"/>
      <c r="E119" s="69"/>
      <c r="F119" s="64"/>
      <c r="G119" s="64"/>
      <c r="H119" s="65"/>
      <c r="I119" s="66"/>
      <c r="J119" s="65"/>
      <c r="K119" s="2"/>
      <c r="L119" s="2"/>
      <c r="M119" s="2"/>
      <c r="N119" s="2"/>
      <c r="O119" s="2"/>
      <c r="P119" s="2"/>
      <c r="Q119" s="2"/>
      <c r="R119" s="2"/>
      <c r="S119" s="2"/>
      <c r="T119" s="2"/>
      <c r="U119" s="2"/>
      <c r="V119" s="2"/>
      <c r="W119" s="2"/>
      <c r="X119" s="2"/>
      <c r="Y119" s="2"/>
      <c r="Z119" s="2"/>
      <c r="AA119" s="2"/>
    </row>
    <row r="120" spans="1:27" ht="15.75" customHeight="1">
      <c r="A120" s="1"/>
      <c r="B120" s="56">
        <v>11</v>
      </c>
      <c r="C120" s="67"/>
      <c r="D120" s="65"/>
      <c r="E120" s="67"/>
      <c r="F120" s="64"/>
      <c r="G120" s="64"/>
      <c r="H120" s="65"/>
      <c r="I120" s="66"/>
      <c r="J120" s="65"/>
      <c r="K120" s="2"/>
      <c r="L120" s="2"/>
      <c r="M120" s="2"/>
      <c r="N120" s="2"/>
      <c r="O120" s="2"/>
      <c r="P120" s="2"/>
      <c r="Q120" s="2"/>
      <c r="R120" s="2"/>
      <c r="S120" s="2"/>
      <c r="T120" s="2"/>
      <c r="U120" s="2"/>
      <c r="V120" s="2"/>
      <c r="W120" s="2"/>
      <c r="X120" s="2"/>
      <c r="Y120" s="2"/>
      <c r="Z120" s="2"/>
      <c r="AA120" s="2"/>
    </row>
    <row r="121" spans="1:27" ht="15.75" customHeight="1">
      <c r="A121" s="1"/>
      <c r="B121" s="56">
        <v>12</v>
      </c>
      <c r="C121" s="88"/>
      <c r="D121" s="65"/>
      <c r="E121" s="70"/>
      <c r="F121" s="64"/>
      <c r="G121" s="64"/>
      <c r="H121" s="65"/>
      <c r="I121" s="66"/>
      <c r="J121" s="65"/>
      <c r="K121" s="2"/>
      <c r="L121" s="2"/>
      <c r="M121" s="2"/>
      <c r="N121" s="2"/>
      <c r="O121" s="2"/>
      <c r="P121" s="2"/>
      <c r="Q121" s="2"/>
      <c r="R121" s="2"/>
      <c r="S121" s="2"/>
      <c r="T121" s="2"/>
      <c r="U121" s="2"/>
      <c r="V121" s="2"/>
      <c r="W121" s="2"/>
      <c r="X121" s="2"/>
      <c r="Y121" s="2"/>
      <c r="Z121" s="2"/>
      <c r="AA121" s="2"/>
    </row>
    <row r="122" spans="1:27" ht="15.75" customHeight="1">
      <c r="A122" s="1"/>
      <c r="B122" s="59"/>
      <c r="C122" s="3"/>
      <c r="D122" s="60"/>
      <c r="E122" s="22"/>
      <c r="F122" s="22"/>
      <c r="G122" s="22"/>
      <c r="H122" s="22"/>
      <c r="I122" s="2"/>
      <c r="J122" s="2"/>
      <c r="K122" s="2"/>
      <c r="L122" s="2"/>
      <c r="M122" s="2"/>
      <c r="N122" s="2"/>
      <c r="O122" s="2"/>
      <c r="P122" s="2"/>
      <c r="Q122" s="2"/>
      <c r="R122" s="2"/>
      <c r="S122" s="2"/>
      <c r="T122" s="2"/>
      <c r="U122" s="2"/>
      <c r="V122" s="2"/>
      <c r="W122" s="2"/>
      <c r="X122" s="2"/>
      <c r="Y122" s="2"/>
      <c r="Z122" s="2"/>
      <c r="AA122" s="2"/>
    </row>
    <row r="123" spans="1:27" ht="15.75" customHeight="1">
      <c r="A123" s="6" t="s">
        <v>76</v>
      </c>
      <c r="B123" s="7" t="s">
        <v>77</v>
      </c>
      <c r="C123" s="3"/>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9.5" customHeight="1">
      <c r="A124" s="1"/>
      <c r="B124" s="2"/>
      <c r="C124" s="61" t="s">
        <v>78</v>
      </c>
      <c r="D124" s="77"/>
      <c r="E124" s="64"/>
      <c r="F124" s="65"/>
      <c r="G124" s="77"/>
      <c r="H124" s="65"/>
      <c r="I124" s="2"/>
      <c r="J124" s="2"/>
      <c r="K124" s="2"/>
      <c r="L124" s="2"/>
      <c r="M124" s="2"/>
      <c r="N124" s="2"/>
      <c r="O124" s="2"/>
      <c r="P124" s="2"/>
      <c r="Q124" s="2"/>
      <c r="R124" s="2"/>
      <c r="S124" s="2"/>
      <c r="T124" s="2"/>
      <c r="U124" s="2"/>
      <c r="V124" s="2"/>
      <c r="W124" s="2"/>
      <c r="X124" s="2"/>
      <c r="Y124" s="2"/>
      <c r="Z124" s="2"/>
      <c r="AA124" s="2"/>
    </row>
    <row r="125" spans="1:27" ht="15.75" customHeight="1">
      <c r="A125" s="1"/>
      <c r="B125" s="2"/>
      <c r="C125" s="62" t="s">
        <v>26</v>
      </c>
      <c r="D125" s="78" t="s">
        <v>26</v>
      </c>
      <c r="E125" s="64"/>
      <c r="F125" s="65"/>
      <c r="G125" s="86"/>
      <c r="H125" s="65"/>
      <c r="I125" s="2"/>
      <c r="J125" s="2"/>
      <c r="K125" s="2"/>
      <c r="L125" s="2"/>
      <c r="M125" s="2"/>
      <c r="N125" s="2"/>
      <c r="O125" s="2"/>
      <c r="P125" s="2"/>
      <c r="Q125" s="2"/>
      <c r="R125" s="2"/>
      <c r="S125" s="2"/>
      <c r="T125" s="2"/>
      <c r="U125" s="2"/>
      <c r="V125" s="2"/>
      <c r="W125" s="2"/>
      <c r="X125" s="2"/>
      <c r="Y125" s="2"/>
      <c r="Z125" s="2"/>
      <c r="AA125" s="2"/>
    </row>
    <row r="126" spans="1:27" ht="15.75" customHeight="1">
      <c r="A126" s="1"/>
      <c r="B126" s="2"/>
      <c r="C126" s="62" t="s">
        <v>27</v>
      </c>
      <c r="D126" s="78" t="s">
        <v>27</v>
      </c>
      <c r="E126" s="64"/>
      <c r="F126" s="65"/>
      <c r="G126" s="86"/>
      <c r="H126" s="65"/>
      <c r="I126" s="2"/>
      <c r="J126" s="2"/>
      <c r="K126" s="2"/>
      <c r="L126" s="2"/>
      <c r="M126" s="2"/>
      <c r="N126" s="2"/>
      <c r="O126" s="2"/>
      <c r="P126" s="2"/>
      <c r="Q126" s="2"/>
      <c r="R126" s="2"/>
      <c r="S126" s="2"/>
      <c r="T126" s="2"/>
      <c r="U126" s="2"/>
      <c r="V126" s="2"/>
      <c r="W126" s="2"/>
      <c r="X126" s="2"/>
      <c r="Y126" s="2"/>
      <c r="Z126" s="2"/>
      <c r="AA126" s="2"/>
    </row>
    <row r="127" spans="1:27" ht="15.75" customHeight="1">
      <c r="A127" s="1"/>
      <c r="B127" s="2"/>
      <c r="C127" s="62" t="s">
        <v>29</v>
      </c>
      <c r="D127" s="87" t="s">
        <v>79</v>
      </c>
      <c r="E127" s="64"/>
      <c r="F127" s="65"/>
      <c r="G127" s="87"/>
      <c r="H127" s="65"/>
      <c r="I127" s="2"/>
      <c r="J127" s="2"/>
      <c r="K127" s="2"/>
      <c r="L127" s="2"/>
      <c r="M127" s="2"/>
      <c r="N127" s="2"/>
      <c r="O127" s="2"/>
      <c r="P127" s="2"/>
      <c r="Q127" s="2"/>
      <c r="R127" s="2"/>
      <c r="S127" s="2"/>
      <c r="T127" s="2"/>
      <c r="U127" s="2"/>
      <c r="V127" s="2"/>
      <c r="W127" s="2"/>
      <c r="X127" s="2"/>
      <c r="Y127" s="2"/>
      <c r="Z127" s="2"/>
      <c r="AA127" s="2"/>
    </row>
    <row r="128" spans="1:27" ht="15.75" customHeight="1">
      <c r="A128" s="1"/>
      <c r="B128" s="2"/>
      <c r="C128" s="62" t="s">
        <v>28</v>
      </c>
      <c r="D128" s="78" t="s">
        <v>80</v>
      </c>
      <c r="E128" s="64"/>
      <c r="F128" s="65"/>
      <c r="G128" s="78"/>
      <c r="H128" s="65"/>
      <c r="I128" s="2"/>
      <c r="J128" s="2"/>
      <c r="K128" s="2"/>
      <c r="L128" s="2"/>
      <c r="M128" s="2"/>
      <c r="N128" s="2"/>
      <c r="O128" s="2"/>
      <c r="P128" s="2"/>
      <c r="Q128" s="2"/>
      <c r="R128" s="2"/>
      <c r="S128" s="2"/>
      <c r="T128" s="2"/>
      <c r="U128" s="2"/>
      <c r="V128" s="2"/>
      <c r="W128" s="2"/>
      <c r="X128" s="2"/>
      <c r="Y128" s="2"/>
      <c r="Z128" s="2"/>
      <c r="AA128" s="2"/>
    </row>
    <row r="129" spans="1:27" ht="15.75" customHeight="1">
      <c r="A129" s="1"/>
      <c r="B129" s="2"/>
      <c r="C129" s="63" t="s">
        <v>35</v>
      </c>
      <c r="D129" s="78" t="s">
        <v>81</v>
      </c>
      <c r="E129" s="64"/>
      <c r="F129" s="65"/>
      <c r="G129" s="70"/>
      <c r="H129" s="65"/>
      <c r="I129" s="2"/>
      <c r="J129" s="2"/>
      <c r="K129" s="2"/>
      <c r="L129" s="2"/>
      <c r="M129" s="2"/>
      <c r="N129" s="2"/>
      <c r="O129" s="2"/>
      <c r="P129" s="2"/>
      <c r="Q129" s="2"/>
      <c r="R129" s="2"/>
      <c r="S129" s="2"/>
      <c r="T129" s="2"/>
      <c r="U129" s="2"/>
      <c r="V129" s="2"/>
      <c r="W129" s="2"/>
      <c r="X129" s="2"/>
      <c r="Y129" s="2"/>
      <c r="Z129" s="2"/>
      <c r="AA129" s="2"/>
    </row>
    <row r="130" spans="1:27" ht="15.75" customHeight="1">
      <c r="A130" s="2"/>
      <c r="B130" s="2"/>
      <c r="C130" s="63" t="s">
        <v>34</v>
      </c>
      <c r="D130" s="78" t="s">
        <v>82</v>
      </c>
      <c r="E130" s="64"/>
      <c r="F130" s="65"/>
      <c r="G130" s="85"/>
      <c r="H130" s="65"/>
      <c r="I130" s="2"/>
      <c r="J130" s="2"/>
      <c r="K130" s="2"/>
      <c r="L130" s="2"/>
      <c r="M130" s="2"/>
      <c r="N130" s="2"/>
      <c r="O130" s="2"/>
      <c r="P130" s="2"/>
      <c r="Q130" s="2"/>
      <c r="R130" s="2"/>
      <c r="S130" s="2"/>
      <c r="T130" s="2"/>
      <c r="U130" s="2"/>
      <c r="V130" s="2"/>
      <c r="W130" s="2"/>
      <c r="X130" s="2"/>
      <c r="Y130" s="2"/>
      <c r="Z130" s="2"/>
      <c r="AA130" s="2"/>
    </row>
    <row r="131" spans="1:27" ht="15.75" customHeight="1">
      <c r="A131" s="1"/>
      <c r="B131" s="2"/>
      <c r="C131" s="3"/>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5.75" customHeight="1">
      <c r="A132" s="1"/>
      <c r="B132" s="2"/>
      <c r="C132" s="3"/>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49.5" customHeight="1">
      <c r="A133" s="2"/>
      <c r="B133" s="2"/>
      <c r="C133" s="3"/>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50.25" customHeight="1">
      <c r="A134" s="2"/>
      <c r="B134" s="2"/>
      <c r="C134" s="3"/>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33" customHeight="1">
      <c r="A135" s="2"/>
      <c r="B135" s="2"/>
      <c r="C135" s="3"/>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36" customHeight="1">
      <c r="A136" s="2"/>
      <c r="B136" s="2"/>
      <c r="C136" s="3"/>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5.75" customHeight="1">
      <c r="A137" s="1"/>
      <c r="B137" s="2"/>
      <c r="C137" s="3"/>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5.75" customHeight="1">
      <c r="A138" s="1"/>
      <c r="B138" s="2"/>
      <c r="C138" s="3"/>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5.75" customHeight="1">
      <c r="A139" s="1"/>
      <c r="B139" s="2"/>
      <c r="C139" s="3"/>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5.75" customHeight="1">
      <c r="A140" s="1"/>
      <c r="B140" s="2"/>
      <c r="C140" s="3"/>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5.75" customHeight="1">
      <c r="A141" s="1"/>
      <c r="B141" s="2"/>
      <c r="C141" s="3"/>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5.75" customHeight="1">
      <c r="A142" s="1"/>
      <c r="B142" s="2"/>
      <c r="C142" s="3"/>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5.75" customHeight="1">
      <c r="A143" s="1"/>
      <c r="B143" s="2"/>
      <c r="C143" s="3"/>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5.75" customHeight="1">
      <c r="A144" s="1"/>
      <c r="B144" s="2"/>
      <c r="C144" s="3"/>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5.75" customHeight="1">
      <c r="A145" s="1"/>
      <c r="B145" s="2"/>
      <c r="C145" s="3"/>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5.75" customHeight="1">
      <c r="A146" s="1"/>
      <c r="B146" s="2"/>
      <c r="C146" s="3"/>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5.75" customHeight="1">
      <c r="A147" s="1"/>
      <c r="B147" s="2"/>
      <c r="C147" s="3"/>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5.75" customHeight="1">
      <c r="A148" s="1"/>
      <c r="B148" s="2"/>
      <c r="C148" s="3"/>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5.75" customHeight="1">
      <c r="A149" s="1"/>
      <c r="B149" s="2"/>
      <c r="C149" s="3"/>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5.75" customHeight="1">
      <c r="A150" s="1"/>
      <c r="B150" s="2"/>
      <c r="C150" s="3"/>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5.75" customHeight="1">
      <c r="A151" s="1"/>
      <c r="B151" s="2"/>
      <c r="C151" s="3"/>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5.75" customHeight="1">
      <c r="A152" s="1"/>
      <c r="B152" s="2"/>
      <c r="C152" s="3"/>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5.75" customHeight="1">
      <c r="A153" s="1"/>
      <c r="B153" s="2"/>
      <c r="C153" s="3"/>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5.75" customHeight="1">
      <c r="A154" s="1"/>
      <c r="B154" s="2"/>
      <c r="C154" s="3"/>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5.75" customHeight="1">
      <c r="A155" s="1"/>
      <c r="B155" s="2"/>
      <c r="C155" s="3"/>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5.75" customHeight="1">
      <c r="A156" s="1"/>
      <c r="B156" s="2"/>
      <c r="C156" s="3"/>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5.75" customHeight="1">
      <c r="A157" s="1"/>
      <c r="B157" s="2"/>
      <c r="C157" s="3"/>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5.75" customHeight="1">
      <c r="A158" s="1"/>
      <c r="B158" s="2"/>
      <c r="C158" s="3"/>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5.75" customHeight="1">
      <c r="A159" s="1"/>
      <c r="B159" s="2"/>
      <c r="C159" s="3"/>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5.75" customHeight="1">
      <c r="A160" s="1"/>
      <c r="B160" s="2"/>
      <c r="C160" s="3"/>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5.75" customHeight="1">
      <c r="A161" s="1"/>
      <c r="B161" s="2"/>
      <c r="C161" s="3"/>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5.75" customHeight="1">
      <c r="A162" s="1"/>
      <c r="B162" s="2"/>
      <c r="C162" s="3"/>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5.75" customHeight="1">
      <c r="A163" s="1"/>
      <c r="B163" s="2"/>
      <c r="C163" s="3"/>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5.75" customHeight="1">
      <c r="A164" s="1"/>
      <c r="B164" s="2"/>
      <c r="C164" s="3"/>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5.75" customHeight="1">
      <c r="A165" s="1"/>
      <c r="B165" s="2"/>
      <c r="C165" s="3"/>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5.75" customHeight="1">
      <c r="A166" s="1"/>
      <c r="B166" s="2"/>
      <c r="C166" s="3"/>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5.75" customHeight="1">
      <c r="A167" s="1"/>
      <c r="B167" s="2"/>
      <c r="C167" s="3"/>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5.75" customHeight="1">
      <c r="A168" s="1"/>
      <c r="B168" s="2"/>
      <c r="C168" s="3"/>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5.75" customHeight="1">
      <c r="A169" s="1"/>
      <c r="B169" s="2"/>
      <c r="C169" s="3"/>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5.75" customHeight="1">
      <c r="A170" s="1"/>
      <c r="B170" s="2"/>
      <c r="C170" s="3"/>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5.75" customHeight="1">
      <c r="A171" s="1"/>
      <c r="B171" s="2"/>
      <c r="C171" s="3"/>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5.75" customHeight="1">
      <c r="A172" s="1"/>
      <c r="B172" s="2"/>
      <c r="C172" s="3"/>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5.75" customHeight="1">
      <c r="A173" s="1"/>
      <c r="B173" s="2"/>
      <c r="C173" s="3"/>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5.75" customHeight="1">
      <c r="A174" s="1"/>
      <c r="B174" s="2"/>
      <c r="C174" s="3"/>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5.75" customHeight="1">
      <c r="A175" s="1"/>
      <c r="B175" s="2"/>
      <c r="C175" s="3"/>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5.75" customHeight="1">
      <c r="A176" s="1"/>
      <c r="B176" s="2"/>
      <c r="C176" s="3"/>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5.75" customHeight="1">
      <c r="A177" s="1"/>
      <c r="B177" s="2"/>
      <c r="C177" s="3"/>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5.75" customHeight="1">
      <c r="A178" s="1"/>
      <c r="B178" s="2"/>
      <c r="C178" s="3"/>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5.75" customHeight="1">
      <c r="A179" s="1"/>
      <c r="B179" s="2"/>
      <c r="C179" s="3"/>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5.75" customHeight="1">
      <c r="A180" s="1"/>
      <c r="B180" s="2"/>
      <c r="C180" s="3"/>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5.75" customHeight="1">
      <c r="A181" s="1"/>
      <c r="B181" s="2"/>
      <c r="C181" s="3"/>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5.75" customHeight="1">
      <c r="A182" s="1"/>
      <c r="B182" s="2"/>
      <c r="C182" s="3"/>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5.75" customHeight="1">
      <c r="A183" s="1"/>
      <c r="B183" s="2"/>
      <c r="C183" s="3"/>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5.75" customHeight="1">
      <c r="A184" s="1"/>
      <c r="B184" s="2"/>
      <c r="C184" s="3"/>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5.75" customHeight="1">
      <c r="A185" s="1"/>
      <c r="B185" s="2"/>
      <c r="C185" s="3"/>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5.75" customHeight="1">
      <c r="A186" s="1"/>
      <c r="B186" s="2"/>
      <c r="C186" s="3"/>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5.75" customHeight="1">
      <c r="A187" s="1"/>
      <c r="B187" s="2"/>
      <c r="C187" s="3"/>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5.75" customHeight="1">
      <c r="A188" s="1"/>
      <c r="B188" s="2"/>
      <c r="C188" s="3"/>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5.75" customHeight="1">
      <c r="A189" s="1"/>
      <c r="B189" s="2"/>
      <c r="C189" s="3"/>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5.75" customHeight="1">
      <c r="A190" s="1"/>
      <c r="B190" s="2"/>
      <c r="C190" s="3"/>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5.75" customHeight="1">
      <c r="A191" s="1"/>
      <c r="B191" s="2"/>
      <c r="C191" s="3"/>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5.75" customHeight="1">
      <c r="A192" s="1"/>
      <c r="B192" s="2"/>
      <c r="C192" s="3"/>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5.75" customHeight="1">
      <c r="A193" s="1"/>
      <c r="B193" s="2"/>
      <c r="C193" s="3"/>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5.75" customHeight="1">
      <c r="A194" s="1"/>
      <c r="B194" s="2"/>
      <c r="C194" s="3"/>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5.75" customHeight="1">
      <c r="A195" s="1"/>
      <c r="B195" s="2"/>
      <c r="C195" s="3"/>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5.75" customHeight="1">
      <c r="A196" s="1"/>
      <c r="B196" s="2"/>
      <c r="C196" s="3"/>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5.75" customHeight="1">
      <c r="A197" s="1"/>
      <c r="B197" s="2"/>
      <c r="C197" s="3"/>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5.75" customHeight="1">
      <c r="A198" s="1"/>
      <c r="B198" s="2"/>
      <c r="C198" s="3"/>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5.75" customHeight="1">
      <c r="A199" s="1"/>
      <c r="B199" s="2"/>
      <c r="C199" s="3"/>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5.75" customHeight="1">
      <c r="A200" s="1"/>
      <c r="B200" s="2"/>
      <c r="C200" s="3"/>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5.75" customHeight="1">
      <c r="A201" s="1"/>
      <c r="B201" s="2"/>
      <c r="C201" s="3"/>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5.75" customHeight="1">
      <c r="A202" s="1"/>
      <c r="B202" s="2"/>
      <c r="C202" s="3"/>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5.75" customHeight="1">
      <c r="A203" s="1"/>
      <c r="B203" s="2"/>
      <c r="C203" s="3"/>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5.75" customHeight="1">
      <c r="A204" s="1"/>
      <c r="B204" s="2"/>
      <c r="C204" s="3"/>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5.75" customHeight="1">
      <c r="A205" s="1"/>
      <c r="B205" s="2"/>
      <c r="C205" s="3"/>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5.75" customHeight="1">
      <c r="A206" s="1"/>
      <c r="B206" s="2"/>
      <c r="C206" s="3"/>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5.75" customHeight="1">
      <c r="A207" s="1"/>
      <c r="B207" s="2"/>
      <c r="C207" s="3"/>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5.75" customHeight="1">
      <c r="A208" s="1"/>
      <c r="B208" s="2"/>
      <c r="C208" s="3"/>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5.75" customHeight="1">
      <c r="A209" s="1"/>
      <c r="B209" s="2"/>
      <c r="C209" s="3"/>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5.75" customHeight="1">
      <c r="A210" s="1"/>
      <c r="B210" s="2"/>
      <c r="C210" s="3"/>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5.75" customHeight="1">
      <c r="A211" s="1"/>
      <c r="B211" s="2"/>
      <c r="C211" s="3"/>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5.75" customHeight="1">
      <c r="A212" s="1"/>
      <c r="B212" s="2"/>
      <c r="C212" s="3"/>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5.75" customHeight="1">
      <c r="A213" s="1"/>
      <c r="B213" s="2"/>
      <c r="C213" s="3"/>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5.75" customHeight="1">
      <c r="A214" s="1"/>
      <c r="B214" s="2"/>
      <c r="C214" s="3"/>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5.75" customHeight="1">
      <c r="A215" s="1"/>
      <c r="B215" s="2"/>
      <c r="C215" s="3"/>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5.75" customHeight="1">
      <c r="A216" s="1"/>
      <c r="B216" s="2"/>
      <c r="C216" s="3"/>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5.75" customHeight="1">
      <c r="A217" s="1"/>
      <c r="B217" s="2"/>
      <c r="C217" s="3"/>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5.75" customHeight="1">
      <c r="A218" s="1"/>
      <c r="B218" s="2"/>
      <c r="C218" s="3"/>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5.75" customHeight="1">
      <c r="A219" s="1"/>
      <c r="B219" s="2"/>
      <c r="C219" s="3"/>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5.75" customHeight="1">
      <c r="A220" s="1"/>
      <c r="B220" s="2"/>
      <c r="C220" s="3"/>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5.75" customHeight="1">
      <c r="A221" s="1"/>
      <c r="B221" s="2"/>
      <c r="C221" s="3"/>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5.75" customHeight="1">
      <c r="A222" s="1"/>
      <c r="B222" s="2"/>
      <c r="C222" s="3"/>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5.75" customHeight="1">
      <c r="A223" s="1"/>
      <c r="B223" s="2"/>
      <c r="C223" s="3"/>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5.75" customHeight="1">
      <c r="A224" s="1"/>
      <c r="B224" s="2"/>
      <c r="C224" s="3"/>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5.75" customHeight="1">
      <c r="A225" s="1"/>
      <c r="B225" s="2"/>
      <c r="C225" s="3"/>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5.75" customHeight="1">
      <c r="A226" s="1"/>
      <c r="B226" s="2"/>
      <c r="C226" s="3"/>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5.75" customHeight="1">
      <c r="A227" s="1"/>
      <c r="B227" s="2"/>
      <c r="C227" s="3"/>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5.75" customHeight="1">
      <c r="A228" s="1"/>
      <c r="B228" s="2"/>
      <c r="C228" s="3"/>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5.75" customHeight="1">
      <c r="A229" s="1"/>
      <c r="B229" s="2"/>
      <c r="C229" s="3"/>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5.75" customHeight="1">
      <c r="A230" s="1"/>
      <c r="B230" s="2"/>
      <c r="C230" s="3"/>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5.75" customHeight="1">
      <c r="A231" s="1"/>
      <c r="B231" s="2"/>
      <c r="C231" s="3"/>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5.75" customHeight="1">
      <c r="A232" s="1"/>
      <c r="B232" s="2"/>
      <c r="C232" s="3"/>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5.75" customHeight="1">
      <c r="A233" s="1"/>
      <c r="B233" s="2"/>
      <c r="C233" s="3"/>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5.75" customHeight="1">
      <c r="A234" s="1"/>
      <c r="B234" s="2"/>
      <c r="C234" s="3"/>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5.75" customHeight="1">
      <c r="A235" s="1"/>
      <c r="B235" s="2"/>
      <c r="C235" s="3"/>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5.75" customHeight="1">
      <c r="A236" s="1"/>
      <c r="B236" s="2"/>
      <c r="C236" s="3"/>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5.75" customHeight="1">
      <c r="A237" s="1"/>
      <c r="B237" s="2"/>
      <c r="C237" s="3"/>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5.75" customHeight="1">
      <c r="A238" s="1"/>
      <c r="B238" s="2"/>
      <c r="C238" s="3"/>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5.75" customHeight="1">
      <c r="A239" s="1"/>
      <c r="B239" s="2"/>
      <c r="C239" s="3"/>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5.75" customHeight="1">
      <c r="A240" s="1"/>
      <c r="B240" s="2"/>
      <c r="C240" s="3"/>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5.75" customHeight="1">
      <c r="A241" s="1"/>
      <c r="B241" s="2"/>
      <c r="C241" s="3"/>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5.75" customHeight="1">
      <c r="A242" s="1"/>
      <c r="B242" s="2"/>
      <c r="C242" s="3"/>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5.75" customHeight="1">
      <c r="A243" s="1"/>
      <c r="B243" s="2"/>
      <c r="C243" s="3"/>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5.75" customHeight="1">
      <c r="A244" s="1"/>
      <c r="B244" s="2"/>
      <c r="C244" s="3"/>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5.75" customHeight="1">
      <c r="A245" s="1"/>
      <c r="B245" s="2"/>
      <c r="C245" s="3"/>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5.75" customHeight="1">
      <c r="A246" s="1"/>
      <c r="B246" s="2"/>
      <c r="C246" s="3"/>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5.75" customHeight="1">
      <c r="A247" s="1"/>
      <c r="B247" s="2"/>
      <c r="C247" s="3"/>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5.75" customHeight="1">
      <c r="A248" s="1"/>
      <c r="B248" s="2"/>
      <c r="C248" s="3"/>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5.75" customHeight="1">
      <c r="A249" s="1"/>
      <c r="B249" s="2"/>
      <c r="C249" s="3"/>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5.75" customHeight="1">
      <c r="A250" s="1"/>
      <c r="B250" s="2"/>
      <c r="C250" s="3"/>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5.75" customHeight="1">
      <c r="A251" s="1"/>
      <c r="B251" s="2"/>
      <c r="C251" s="3"/>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5.75" customHeight="1">
      <c r="A252" s="1"/>
      <c r="B252" s="2"/>
      <c r="C252" s="3"/>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5.75" customHeight="1">
      <c r="A253" s="1"/>
      <c r="B253" s="2"/>
      <c r="C253" s="3"/>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5.75" customHeight="1">
      <c r="A254" s="1"/>
      <c r="B254" s="2"/>
      <c r="C254" s="3"/>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5.75" customHeight="1">
      <c r="A255" s="1"/>
      <c r="B255" s="2"/>
      <c r="C255" s="3"/>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5.75" customHeight="1">
      <c r="A256" s="1"/>
      <c r="B256" s="2"/>
      <c r="C256" s="3"/>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5.75" customHeight="1">
      <c r="A257" s="1"/>
      <c r="B257" s="2"/>
      <c r="C257" s="3"/>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5.75" customHeight="1">
      <c r="A258" s="1"/>
      <c r="B258" s="2"/>
      <c r="C258" s="3"/>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5.75" customHeight="1">
      <c r="A259" s="1"/>
      <c r="B259" s="2"/>
      <c r="C259" s="3"/>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5.75" customHeight="1">
      <c r="A260" s="1"/>
      <c r="B260" s="2"/>
      <c r="C260" s="3"/>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5.75" customHeight="1">
      <c r="A261" s="1"/>
      <c r="B261" s="2"/>
      <c r="C261" s="3"/>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5.75" customHeight="1">
      <c r="A262" s="1"/>
      <c r="B262" s="2"/>
      <c r="C262" s="3"/>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5.75" customHeight="1">
      <c r="A263" s="1"/>
      <c r="B263" s="2"/>
      <c r="C263" s="3"/>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5.75" customHeight="1">
      <c r="A264" s="1"/>
      <c r="B264" s="2"/>
      <c r="C264" s="3"/>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5.75" customHeight="1">
      <c r="A265" s="1"/>
      <c r="B265" s="2"/>
      <c r="C265" s="3"/>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5.75" customHeight="1">
      <c r="A266" s="1"/>
      <c r="B266" s="2"/>
      <c r="C266" s="3"/>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5.75" customHeight="1">
      <c r="A267" s="1"/>
      <c r="B267" s="2"/>
      <c r="C267" s="3"/>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5.75" customHeight="1">
      <c r="A268" s="1"/>
      <c r="B268" s="2"/>
      <c r="C268" s="3"/>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5.75" customHeight="1">
      <c r="A269" s="1"/>
      <c r="B269" s="2"/>
      <c r="C269" s="3"/>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5.75" customHeight="1">
      <c r="A270" s="1"/>
      <c r="B270" s="2"/>
      <c r="C270" s="3"/>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5.75" customHeight="1">
      <c r="A271" s="1"/>
      <c r="B271" s="2"/>
      <c r="C271" s="3"/>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5.75" customHeight="1">
      <c r="A272" s="1"/>
      <c r="B272" s="2"/>
      <c r="C272" s="3"/>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5.75" customHeight="1">
      <c r="A273" s="1"/>
      <c r="B273" s="2"/>
      <c r="C273" s="3"/>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5.75" customHeight="1">
      <c r="A274" s="1"/>
      <c r="B274" s="2"/>
      <c r="C274" s="3"/>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5.75" customHeight="1">
      <c r="A275" s="1"/>
      <c r="B275" s="2"/>
      <c r="C275" s="3"/>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5.75" customHeight="1">
      <c r="A276" s="1"/>
      <c r="B276" s="2"/>
      <c r="C276" s="3"/>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5.75" customHeight="1">
      <c r="A277" s="1"/>
      <c r="B277" s="2"/>
      <c r="C277" s="3"/>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5.75" customHeight="1">
      <c r="A278" s="1"/>
      <c r="B278" s="2"/>
      <c r="C278" s="3"/>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5.75" customHeight="1">
      <c r="A279" s="1"/>
      <c r="B279" s="2"/>
      <c r="C279" s="3"/>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5.75" customHeight="1">
      <c r="A280" s="1"/>
      <c r="B280" s="2"/>
      <c r="C280" s="3"/>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5.75" customHeight="1">
      <c r="A281" s="1"/>
      <c r="B281" s="2"/>
      <c r="C281" s="3"/>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5.75" customHeight="1">
      <c r="A282" s="1"/>
      <c r="B282" s="2"/>
      <c r="C282" s="3"/>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5.75" customHeight="1">
      <c r="A283" s="1"/>
      <c r="B283" s="2"/>
      <c r="C283" s="3"/>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5.75" customHeight="1">
      <c r="A284" s="1"/>
      <c r="B284" s="2"/>
      <c r="C284" s="3"/>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5.75" customHeight="1">
      <c r="A285" s="1"/>
      <c r="B285" s="2"/>
      <c r="C285" s="3"/>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5.75" customHeight="1">
      <c r="A286" s="1"/>
      <c r="B286" s="2"/>
      <c r="C286" s="3"/>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5.75" customHeight="1">
      <c r="A287" s="1"/>
      <c r="B287" s="2"/>
      <c r="C287" s="3"/>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5.75" customHeight="1">
      <c r="A288" s="1"/>
      <c r="B288" s="2"/>
      <c r="C288" s="3"/>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5.75" customHeight="1">
      <c r="A289" s="1"/>
      <c r="B289" s="2"/>
      <c r="C289" s="3"/>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5.75" customHeight="1">
      <c r="A290" s="1"/>
      <c r="B290" s="2"/>
      <c r="C290" s="3"/>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5.75" customHeight="1">
      <c r="A291" s="1"/>
      <c r="B291" s="2"/>
      <c r="C291" s="3"/>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5.75" customHeight="1">
      <c r="A292" s="1"/>
      <c r="B292" s="2"/>
      <c r="C292" s="3"/>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5.75" customHeight="1">
      <c r="A293" s="1"/>
      <c r="B293" s="2"/>
      <c r="C293" s="3"/>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5.75" customHeight="1">
      <c r="A294" s="1"/>
      <c r="B294" s="2"/>
      <c r="C294" s="3"/>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5.75" customHeight="1">
      <c r="A295" s="1"/>
      <c r="B295" s="2"/>
      <c r="C295" s="3"/>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5.75" customHeight="1">
      <c r="A296" s="1"/>
      <c r="B296" s="2"/>
      <c r="C296" s="3"/>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5.75" customHeight="1">
      <c r="A297" s="1"/>
      <c r="B297" s="2"/>
      <c r="C297" s="3"/>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5.75" customHeight="1">
      <c r="A298" s="1"/>
      <c r="B298" s="2"/>
      <c r="C298" s="3"/>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5.75" customHeight="1">
      <c r="A299" s="1"/>
      <c r="B299" s="2"/>
      <c r="C299" s="3"/>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5.75" customHeight="1">
      <c r="A300" s="1"/>
      <c r="B300" s="2"/>
      <c r="C300" s="3"/>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5.75" customHeight="1">
      <c r="A301" s="1"/>
      <c r="B301" s="2"/>
      <c r="C301" s="3"/>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5.75" customHeight="1">
      <c r="A302" s="1"/>
      <c r="B302" s="2"/>
      <c r="C302" s="3"/>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5.75" customHeight="1">
      <c r="A303" s="1"/>
      <c r="B303" s="2"/>
      <c r="C303" s="3"/>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5.75" customHeight="1">
      <c r="A304" s="1"/>
      <c r="B304" s="2"/>
      <c r="C304" s="3"/>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5.75" customHeight="1">
      <c r="A305" s="1"/>
      <c r="B305" s="2"/>
      <c r="C305" s="3"/>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5.75" customHeight="1">
      <c r="A306" s="1"/>
      <c r="B306" s="2"/>
      <c r="C306" s="3"/>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5.75" customHeight="1">
      <c r="A307" s="1"/>
      <c r="B307" s="2"/>
      <c r="C307" s="3"/>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5.75" customHeight="1">
      <c r="A308" s="1"/>
      <c r="B308" s="2"/>
      <c r="C308" s="3"/>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5.75" customHeight="1">
      <c r="A309" s="1"/>
      <c r="B309" s="2"/>
      <c r="C309" s="3"/>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5.75" customHeight="1">
      <c r="A310" s="1"/>
      <c r="B310" s="2"/>
      <c r="C310" s="3"/>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5.75" customHeight="1">
      <c r="A311" s="1"/>
      <c r="B311" s="2"/>
      <c r="C311" s="3"/>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5.75" customHeight="1">
      <c r="A312" s="1"/>
      <c r="B312" s="2"/>
      <c r="C312" s="3"/>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5.75" customHeight="1">
      <c r="A313" s="1"/>
      <c r="B313" s="2"/>
      <c r="C313" s="3"/>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5.75" customHeight="1">
      <c r="A314" s="1"/>
      <c r="B314" s="2"/>
      <c r="C314" s="3"/>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5.75" customHeight="1">
      <c r="A315" s="1"/>
      <c r="B315" s="2"/>
      <c r="C315" s="3"/>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5.75" customHeight="1">
      <c r="A316" s="1"/>
      <c r="B316" s="2"/>
      <c r="C316" s="3"/>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5.75" customHeight="1">
      <c r="A317" s="1"/>
      <c r="B317" s="2"/>
      <c r="C317" s="3"/>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5.75" customHeight="1">
      <c r="A318" s="1"/>
      <c r="B318" s="2"/>
      <c r="C318" s="3"/>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5.75" customHeight="1">
      <c r="A319" s="1"/>
      <c r="B319" s="2"/>
      <c r="C319" s="3"/>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5.75" customHeight="1">
      <c r="A320" s="1"/>
      <c r="B320" s="2"/>
      <c r="C320" s="3"/>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5.75" customHeight="1">
      <c r="A321" s="1"/>
      <c r="B321" s="2"/>
      <c r="C321" s="3"/>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5.75" customHeight="1">
      <c r="A322" s="1"/>
      <c r="B322" s="2"/>
      <c r="C322" s="3"/>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5.75" customHeight="1">
      <c r="A323" s="1"/>
      <c r="B323" s="2"/>
      <c r="C323" s="3"/>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5.75" customHeight="1">
      <c r="A324" s="1"/>
      <c r="B324" s="2"/>
      <c r="C324" s="3"/>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5.75" customHeight="1">
      <c r="A325" s="1"/>
      <c r="B325" s="2"/>
      <c r="C325" s="3"/>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5.75" customHeight="1">
      <c r="A326" s="1"/>
      <c r="B326" s="2"/>
      <c r="C326" s="3"/>
      <c r="D326" s="2"/>
      <c r="E326" s="2"/>
      <c r="F326" s="2"/>
      <c r="G326" s="2"/>
      <c r="H326" s="2"/>
      <c r="I326" s="2"/>
      <c r="J326" s="2"/>
      <c r="Q326" s="2"/>
      <c r="R326" s="2"/>
      <c r="S326" s="2"/>
      <c r="T326" s="2"/>
      <c r="U326" s="2"/>
      <c r="V326" s="2"/>
      <c r="W326" s="2"/>
      <c r="X326" s="2"/>
      <c r="Y326" s="2"/>
      <c r="Z326" s="2"/>
      <c r="AA326" s="2"/>
    </row>
    <row r="327" spans="1:27" ht="15.75" customHeight="1">
      <c r="A327" s="1"/>
      <c r="B327" s="2"/>
      <c r="C327" s="3"/>
      <c r="D327" s="2"/>
      <c r="E327" s="2"/>
      <c r="F327" s="2"/>
      <c r="G327" s="2"/>
      <c r="H327" s="2"/>
      <c r="I327" s="2"/>
      <c r="J327" s="2"/>
      <c r="Q327" s="2"/>
      <c r="R327" s="2"/>
      <c r="S327" s="2"/>
      <c r="T327" s="2"/>
      <c r="U327" s="2"/>
      <c r="V327" s="2"/>
      <c r="W327" s="2"/>
      <c r="X327" s="2"/>
      <c r="Y327" s="2"/>
      <c r="Z327" s="2"/>
      <c r="AA327" s="2"/>
    </row>
    <row r="328" spans="1:27" ht="15.75" customHeight="1">
      <c r="A328" s="1"/>
      <c r="B328" s="2"/>
      <c r="C328" s="3"/>
      <c r="D328" s="2"/>
      <c r="E328" s="2"/>
      <c r="F328" s="2"/>
      <c r="G328" s="2"/>
      <c r="H328" s="2"/>
      <c r="I328" s="2"/>
      <c r="J328" s="2"/>
      <c r="Q328" s="2"/>
      <c r="R328" s="2"/>
      <c r="S328" s="2"/>
      <c r="T328" s="2"/>
      <c r="U328" s="2"/>
      <c r="V328" s="2"/>
      <c r="W328" s="2"/>
      <c r="X328" s="2"/>
      <c r="Y328" s="2"/>
      <c r="Z328" s="2"/>
      <c r="AA328" s="2"/>
    </row>
    <row r="329" spans="1:27" ht="15.75" customHeight="1">
      <c r="A329" s="1"/>
      <c r="B329" s="2"/>
      <c r="C329" s="3"/>
      <c r="D329" s="2"/>
      <c r="E329" s="2"/>
      <c r="F329" s="2"/>
      <c r="G329" s="2"/>
      <c r="H329" s="2"/>
      <c r="I329" s="2"/>
      <c r="J329" s="2"/>
      <c r="Q329" s="2"/>
      <c r="R329" s="2"/>
      <c r="S329" s="2"/>
      <c r="T329" s="2"/>
      <c r="U329" s="2"/>
      <c r="V329" s="2"/>
      <c r="W329" s="2"/>
      <c r="X329" s="2"/>
      <c r="Y329" s="2"/>
      <c r="Z329" s="2"/>
      <c r="AA329" s="2"/>
    </row>
    <row r="330" spans="1:27" ht="15.75" customHeight="1">
      <c r="A330" s="1"/>
      <c r="B330" s="2"/>
      <c r="C330" s="3"/>
      <c r="D330" s="2"/>
      <c r="E330" s="2"/>
      <c r="F330" s="2"/>
      <c r="G330" s="2"/>
      <c r="H330" s="2"/>
      <c r="I330" s="2"/>
      <c r="J330" s="2"/>
      <c r="Q330" s="2"/>
      <c r="R330" s="2"/>
      <c r="S330" s="2"/>
      <c r="T330" s="2"/>
      <c r="U330" s="2"/>
      <c r="V330" s="2"/>
      <c r="W330" s="2"/>
      <c r="X330" s="2"/>
      <c r="Y330" s="2"/>
      <c r="Z330" s="2"/>
      <c r="AA330" s="2"/>
    </row>
    <row r="331" spans="1:27" ht="15.75" customHeight="1"/>
    <row r="332" spans="1:27" ht="15.75" customHeight="1"/>
    <row r="333" spans="1:27" ht="15.75" customHeight="1"/>
    <row r="334" spans="1:27" ht="15.75" customHeight="1"/>
    <row r="335" spans="1:27" ht="15.75" customHeight="1"/>
    <row r="336" spans="1:27"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78">
    <mergeCell ref="C110:D110"/>
    <mergeCell ref="C111:D111"/>
    <mergeCell ref="C112:D112"/>
    <mergeCell ref="C113:D113"/>
    <mergeCell ref="C114:D114"/>
    <mergeCell ref="C115:D115"/>
    <mergeCell ref="C116:D116"/>
    <mergeCell ref="C117:D117"/>
    <mergeCell ref="C118:D118"/>
    <mergeCell ref="C119:D119"/>
    <mergeCell ref="C120:D120"/>
    <mergeCell ref="C121:D121"/>
    <mergeCell ref="D124:F124"/>
    <mergeCell ref="G124:H124"/>
    <mergeCell ref="D128:F128"/>
    <mergeCell ref="E121:H121"/>
    <mergeCell ref="D129:F129"/>
    <mergeCell ref="G129:H129"/>
    <mergeCell ref="D130:F130"/>
    <mergeCell ref="G130:H130"/>
    <mergeCell ref="D125:F125"/>
    <mergeCell ref="G125:H125"/>
    <mergeCell ref="D126:F126"/>
    <mergeCell ref="G126:H126"/>
    <mergeCell ref="D127:F127"/>
    <mergeCell ref="G127:H127"/>
    <mergeCell ref="G128:H128"/>
    <mergeCell ref="B7:C7"/>
    <mergeCell ref="D7:H7"/>
    <mergeCell ref="B2:H2"/>
    <mergeCell ref="B5:C5"/>
    <mergeCell ref="D5:H5"/>
    <mergeCell ref="B6:C6"/>
    <mergeCell ref="D6:H6"/>
    <mergeCell ref="B8:C8"/>
    <mergeCell ref="D8:H8"/>
    <mergeCell ref="L26:N26"/>
    <mergeCell ref="O26:P26"/>
    <mergeCell ref="B9:C9"/>
    <mergeCell ref="D9:H9"/>
    <mergeCell ref="B24:C24"/>
    <mergeCell ref="L25:N25"/>
    <mergeCell ref="O25:P25"/>
    <mergeCell ref="C103:D103"/>
    <mergeCell ref="E103:H103"/>
    <mergeCell ref="C104:D104"/>
    <mergeCell ref="E104:H104"/>
    <mergeCell ref="C105:D105"/>
    <mergeCell ref="E105:H105"/>
    <mergeCell ref="C106:D106"/>
    <mergeCell ref="E106:H106"/>
    <mergeCell ref="E108:H108"/>
    <mergeCell ref="C109:D109"/>
    <mergeCell ref="E109:H109"/>
    <mergeCell ref="I109:J109"/>
    <mergeCell ref="E110:H110"/>
    <mergeCell ref="I110:J110"/>
    <mergeCell ref="E111:H111"/>
    <mergeCell ref="I111:J111"/>
    <mergeCell ref="E112:H112"/>
    <mergeCell ref="I112:J112"/>
    <mergeCell ref="E113:H113"/>
    <mergeCell ref="I113:J113"/>
    <mergeCell ref="I114:J114"/>
    <mergeCell ref="I121:J121"/>
    <mergeCell ref="E114:H114"/>
    <mergeCell ref="E115:H115"/>
    <mergeCell ref="I115:J115"/>
    <mergeCell ref="E116:H116"/>
    <mergeCell ref="I116:J116"/>
    <mergeCell ref="E117:H117"/>
    <mergeCell ref="I117:J117"/>
    <mergeCell ref="E118:H118"/>
    <mergeCell ref="I118:J118"/>
    <mergeCell ref="E119:H119"/>
    <mergeCell ref="I119:J119"/>
    <mergeCell ref="E120:H120"/>
    <mergeCell ref="I120:J120"/>
  </mergeCells>
  <pageMargins left="0.75" right="0.75" top="1" bottom="1" header="0" footer="0"/>
  <pageSetup orientation="portrait"/>
  <headerFooter>
    <oddFooter>&amp;L01/BM/GSDC/CMCSoft e v1.0&amp;CInternal use&amp;RPage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Báo cáo kiểm thử</vt:lpstr>
      <vt:lpstr>'Báo cáo kiểm thử'!result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2025-11-06T10:00:42Z</dcterms:modified>
</cp:coreProperties>
</file>